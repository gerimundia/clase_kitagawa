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scolmex-my.sharepoint.com/personal/arrobles_colmex_mx/Documents/Postulaciones/df/clases/"/>
    </mc:Choice>
  </mc:AlternateContent>
  <xr:revisionPtr revIDLastSave="849" documentId="8_{DFDDCC90-AEAB-48B5-A855-85862080D671}" xr6:coauthVersionLast="47" xr6:coauthVersionMax="47" xr10:uidLastSave="{DEEAA90A-D80E-48EF-9BED-F9C8CBA5845B}"/>
  <bookViews>
    <workbookView xWindow="28680" yWindow="-120" windowWidth="29040" windowHeight="15720" activeTab="4" xr2:uid="{9104DEA7-91BA-4849-A574-53179AA43776}"/>
  </bookViews>
  <sheets>
    <sheet name="Dos factores (1)" sheetId="2" r:id="rId1"/>
    <sheet name="Dos factores (2)" sheetId="5" r:id="rId2"/>
    <sheet name="Dos factores (3)" sheetId="7" r:id="rId3"/>
    <sheet name="Dos factores (4)" sheetId="6" r:id="rId4"/>
    <sheet name="Dos factores (5)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8" l="1"/>
  <c r="A22" i="8"/>
  <c r="C28" i="8" s="1"/>
  <c r="C13" i="8"/>
  <c r="F13" i="8"/>
  <c r="D13" i="8"/>
  <c r="E13" i="8"/>
  <c r="C14" i="8"/>
  <c r="F14" i="8"/>
  <c r="G14" i="8"/>
  <c r="D14" i="8"/>
  <c r="E14" i="8"/>
  <c r="C15" i="8"/>
  <c r="F15" i="8"/>
  <c r="G15" i="8" s="1"/>
  <c r="D15" i="8"/>
  <c r="E15" i="8"/>
  <c r="C16" i="8"/>
  <c r="F16" i="8"/>
  <c r="D16" i="8"/>
  <c r="E16" i="8"/>
  <c r="C17" i="8"/>
  <c r="F17" i="8"/>
  <c r="D17" i="8"/>
  <c r="E17" i="8"/>
  <c r="C18" i="8"/>
  <c r="F18" i="8"/>
  <c r="D18" i="8"/>
  <c r="E18" i="8"/>
  <c r="H8" i="8"/>
  <c r="H7" i="8"/>
  <c r="G7" i="8"/>
  <c r="I17" i="8" s="1"/>
  <c r="J8" i="8"/>
  <c r="J7" i="8"/>
  <c r="I4" i="8"/>
  <c r="H4" i="8"/>
  <c r="G4" i="8"/>
  <c r="B19" i="7"/>
  <c r="F15" i="7"/>
  <c r="E15" i="7"/>
  <c r="J14" i="7"/>
  <c r="I14" i="7"/>
  <c r="H14" i="7"/>
  <c r="G14" i="7"/>
  <c r="J13" i="7"/>
  <c r="I13" i="7"/>
  <c r="H13" i="7"/>
  <c r="G13" i="7"/>
  <c r="J12" i="7"/>
  <c r="I12" i="7"/>
  <c r="H12" i="7"/>
  <c r="G12" i="7"/>
  <c r="F11" i="7"/>
  <c r="E11" i="7"/>
  <c r="J10" i="7"/>
  <c r="I10" i="7"/>
  <c r="H10" i="7"/>
  <c r="G10" i="7"/>
  <c r="J9" i="7"/>
  <c r="I9" i="7"/>
  <c r="H9" i="7"/>
  <c r="G9" i="7"/>
  <c r="J8" i="7"/>
  <c r="I8" i="7"/>
  <c r="H8" i="7"/>
  <c r="G8" i="7"/>
  <c r="F7" i="7"/>
  <c r="E7" i="7"/>
  <c r="I14" i="8" l="1"/>
  <c r="G16" i="8"/>
  <c r="G13" i="8"/>
  <c r="G18" i="8"/>
  <c r="G17" i="8"/>
  <c r="H5" i="8"/>
  <c r="I5" i="8"/>
  <c r="G8" i="8"/>
  <c r="I18" i="8" s="1"/>
  <c r="J5" i="8"/>
  <c r="I8" i="8"/>
  <c r="H18" i="8" s="1"/>
  <c r="H3" i="8"/>
  <c r="I3" i="8"/>
  <c r="G6" i="8"/>
  <c r="H6" i="8"/>
  <c r="I6" i="8"/>
  <c r="J6" i="8"/>
  <c r="G5" i="8"/>
  <c r="J3" i="8"/>
  <c r="I7" i="8"/>
  <c r="H17" i="8" s="1"/>
  <c r="G3" i="8"/>
  <c r="J4" i="8"/>
  <c r="J14" i="8" s="1"/>
  <c r="H13" i="8" l="1"/>
  <c r="I13" i="8"/>
  <c r="J15" i="8"/>
  <c r="J16" i="8"/>
  <c r="J13" i="8"/>
  <c r="J18" i="8"/>
  <c r="H16" i="8"/>
  <c r="I16" i="8"/>
  <c r="H15" i="8"/>
  <c r="J17" i="8"/>
  <c r="H14" i="8"/>
  <c r="I15" i="8"/>
  <c r="B27" i="8" l="1"/>
  <c r="B25" i="8"/>
  <c r="C25" i="8" s="1"/>
  <c r="B26" i="8"/>
  <c r="C26" i="8" s="1"/>
  <c r="B24" i="8"/>
  <c r="C24" i="8" s="1"/>
  <c r="C27" i="8" l="1"/>
  <c r="B18" i="6"/>
  <c r="F14" i="6"/>
  <c r="E14" i="6"/>
  <c r="L13" i="6"/>
  <c r="K13" i="6"/>
  <c r="J13" i="6"/>
  <c r="I13" i="6"/>
  <c r="H13" i="6"/>
  <c r="G13" i="6"/>
  <c r="J12" i="6"/>
  <c r="I12" i="6"/>
  <c r="H12" i="6"/>
  <c r="L12" i="6" s="1"/>
  <c r="G12" i="6"/>
  <c r="K12" i="6" s="1"/>
  <c r="J11" i="6"/>
  <c r="K11" i="6" s="1"/>
  <c r="I11" i="6"/>
  <c r="L11" i="6" s="1"/>
  <c r="H11" i="6"/>
  <c r="G11" i="6"/>
  <c r="F10" i="6"/>
  <c r="E10" i="6"/>
  <c r="J9" i="6"/>
  <c r="K9" i="6" s="1"/>
  <c r="I9" i="6"/>
  <c r="L9" i="6" s="1"/>
  <c r="H9" i="6"/>
  <c r="G9" i="6"/>
  <c r="J8" i="6"/>
  <c r="I8" i="6"/>
  <c r="H8" i="6"/>
  <c r="L8" i="6" s="1"/>
  <c r="G8" i="6"/>
  <c r="K8" i="6" s="1"/>
  <c r="J7" i="6"/>
  <c r="I7" i="6"/>
  <c r="H7" i="6"/>
  <c r="L7" i="6" s="1"/>
  <c r="G7" i="6"/>
  <c r="K7" i="6" s="1"/>
  <c r="F6" i="6"/>
  <c r="E6" i="6"/>
  <c r="B19" i="5"/>
  <c r="F15" i="5"/>
  <c r="E15" i="5"/>
  <c r="F11" i="5"/>
  <c r="E11" i="5"/>
  <c r="F7" i="5"/>
  <c r="E7" i="5"/>
  <c r="D20" i="6" l="1"/>
  <c r="E20" i="6" s="1"/>
  <c r="D21" i="6"/>
  <c r="E21" i="6" s="1"/>
  <c r="F10" i="2"/>
  <c r="E10" i="2"/>
  <c r="F14" i="2"/>
  <c r="E14" i="2"/>
  <c r="F6" i="2"/>
  <c r="E6" i="2"/>
</calcChain>
</file>

<file path=xl/sharedStrings.xml><?xml version="1.0" encoding="utf-8"?>
<sst xmlns="http://schemas.openxmlformats.org/spreadsheetml/2006/main" count="161" uniqueCount="30">
  <si>
    <t>Tiempo en el mercado laboral</t>
  </si>
  <si>
    <t>Tasa de movilidad A</t>
  </si>
  <si>
    <t>Tasa de movilidad B</t>
  </si>
  <si>
    <t>Composición A</t>
  </si>
  <si>
    <t>Menos de 5 años</t>
  </si>
  <si>
    <t>Entre 5 y 9 años</t>
  </si>
  <si>
    <t>Más de 9 años</t>
  </si>
  <si>
    <t>Total</t>
  </si>
  <si>
    <t>Composición B</t>
  </si>
  <si>
    <t>Promedio de tasas</t>
  </si>
  <si>
    <t>Promedio de composición</t>
  </si>
  <si>
    <t>Diferencia composición A-B</t>
  </si>
  <si>
    <t>Diferencia tasas A-B</t>
  </si>
  <si>
    <t>Diferencia de tasas</t>
  </si>
  <si>
    <t>Componente de composición</t>
  </si>
  <si>
    <t>Componente de tasas</t>
  </si>
  <si>
    <t>Estatus migratorio</t>
  </si>
  <si>
    <t>Todos los hombres</t>
  </si>
  <si>
    <t>Migrantes</t>
  </si>
  <si>
    <t>No migrantes</t>
  </si>
  <si>
    <t>n.j A</t>
  </si>
  <si>
    <t>n.j B</t>
  </si>
  <si>
    <t>ni. A</t>
  </si>
  <si>
    <t>ni. B</t>
  </si>
  <si>
    <t>Factor neto de J</t>
  </si>
  <si>
    <t>Factor neto de I</t>
  </si>
  <si>
    <t>Interacción IJ</t>
  </si>
  <si>
    <t>Combinado IJ</t>
  </si>
  <si>
    <t>Estatus migratorio (Factor J)</t>
  </si>
  <si>
    <t>Tiempo en el mercado laboral (Factor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</si>
</sst>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sz val="11"/>
      <name val="Aptos"/>
      <family val="2"/>
    </font>
    <font>
      <sz val="14"/>
      <name val="Aptos"/>
      <family val="2"/>
    </font>
    <font>
      <b/>
      <sz val="18"/>
      <color theme="0"/>
      <name val="Aptos"/>
      <family val="2"/>
    </font>
    <font>
      <b/>
      <sz val="18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2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D4D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rgb="FFD6E4F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2" borderId="0" xfId="0" applyFont="1" applyFill="1"/>
    <xf numFmtId="0" fontId="6" fillId="2" borderId="2" xfId="0" applyFont="1" applyFill="1" applyBorder="1" applyAlignment="1">
      <alignment horizontal="left" vertical="center" readingOrder="1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readingOrder="1"/>
    </xf>
    <xf numFmtId="0" fontId="7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left" vertical="center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9" fillId="2" borderId="0" xfId="0" applyFont="1" applyFill="1"/>
    <xf numFmtId="0" fontId="10" fillId="2" borderId="0" xfId="0" applyFont="1" applyFill="1"/>
    <xf numFmtId="0" fontId="5" fillId="2" borderId="0" xfId="0" applyFont="1" applyFill="1" applyAlignment="1">
      <alignment horizontal="center" vertical="center" wrapText="1" readingOrder="1"/>
    </xf>
    <xf numFmtId="2" fontId="5" fillId="2" borderId="1" xfId="0" applyNumberFormat="1" applyFont="1" applyFill="1" applyBorder="1" applyAlignment="1">
      <alignment horizontal="center" vertical="center" readingOrder="1"/>
    </xf>
    <xf numFmtId="0" fontId="2" fillId="2" borderId="0" xfId="0" applyFont="1" applyFill="1"/>
    <xf numFmtId="0" fontId="7" fillId="2" borderId="0" xfId="0" applyFont="1" applyFill="1"/>
    <xf numFmtId="0" fontId="6" fillId="2" borderId="2" xfId="0" applyFont="1" applyFill="1" applyBorder="1" applyAlignment="1">
      <alignment horizontal="center" vertical="center" readingOrder="1"/>
    </xf>
    <xf numFmtId="2" fontId="6" fillId="2" borderId="2" xfId="0" applyNumberFormat="1" applyFont="1" applyFill="1" applyBorder="1" applyAlignment="1">
      <alignment horizontal="center" vertical="center" readingOrder="1"/>
    </xf>
    <xf numFmtId="0" fontId="6" fillId="2" borderId="0" xfId="0" applyFont="1" applyFill="1" applyAlignment="1">
      <alignment horizontal="center" vertical="center" readingOrder="1"/>
    </xf>
    <xf numFmtId="2" fontId="6" fillId="2" borderId="0" xfId="0" applyNumberFormat="1" applyFont="1" applyFill="1" applyAlignment="1">
      <alignment horizontal="center" vertical="center" readingOrder="1"/>
    </xf>
    <xf numFmtId="2" fontId="7" fillId="2" borderId="1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2" fontId="7" fillId="2" borderId="0" xfId="0" applyNumberFormat="1" applyFont="1" applyFill="1"/>
    <xf numFmtId="164" fontId="7" fillId="2" borderId="0" xfId="0" applyNumberFormat="1" applyFont="1" applyFill="1" applyAlignment="1">
      <alignment horizontal="center" vertical="center"/>
    </xf>
    <xf numFmtId="0" fontId="8" fillId="2" borderId="0" xfId="0" applyFont="1" applyFill="1"/>
    <xf numFmtId="2" fontId="7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/>
    <xf numFmtId="0" fontId="6" fillId="2" borderId="0" xfId="0" applyFont="1" applyFill="1"/>
    <xf numFmtId="0" fontId="4" fillId="2" borderId="0" xfId="0" applyFont="1" applyFill="1"/>
    <xf numFmtId="0" fontId="6" fillId="2" borderId="3" xfId="0" applyFont="1" applyFill="1" applyBorder="1" applyAlignment="1">
      <alignment horizontal="left" vertical="center" readingOrder="1"/>
    </xf>
    <xf numFmtId="2" fontId="14" fillId="6" borderId="0" xfId="0" applyNumberFormat="1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 readingOrder="1"/>
    </xf>
    <xf numFmtId="2" fontId="14" fillId="2" borderId="0" xfId="0" applyNumberFormat="1" applyFont="1" applyFill="1" applyAlignment="1">
      <alignment horizontal="center" vertical="center"/>
    </xf>
    <xf numFmtId="164" fontId="11" fillId="2" borderId="4" xfId="0" applyNumberFormat="1" applyFont="1" applyFill="1" applyBorder="1" applyAlignment="1">
      <alignment horizontal="left" vertical="center"/>
    </xf>
    <xf numFmtId="165" fontId="11" fillId="2" borderId="4" xfId="1" applyNumberFormat="1" applyFont="1" applyFill="1" applyBorder="1" applyAlignment="1">
      <alignment horizontal="left" vertical="center"/>
    </xf>
    <xf numFmtId="165" fontId="11" fillId="2" borderId="4" xfId="0" applyNumberFormat="1" applyFont="1" applyFill="1" applyBorder="1" applyAlignment="1">
      <alignment horizontal="left" vertical="center"/>
    </xf>
    <xf numFmtId="2" fontId="8" fillId="2" borderId="0" xfId="0" applyNumberFormat="1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164" fontId="11" fillId="2" borderId="0" xfId="0" applyNumberFormat="1" applyFont="1" applyFill="1" applyAlignment="1">
      <alignment horizontal="left" vertical="center"/>
    </xf>
    <xf numFmtId="165" fontId="11" fillId="2" borderId="0" xfId="1" applyNumberFormat="1" applyFont="1" applyFill="1" applyBorder="1" applyAlignment="1">
      <alignment horizontal="left" vertical="center"/>
    </xf>
    <xf numFmtId="165" fontId="11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9" fillId="9" borderId="0" xfId="0" applyFont="1" applyFill="1" applyAlignment="1">
      <alignment vertical="center"/>
    </xf>
    <xf numFmtId="0" fontId="6" fillId="10" borderId="2" xfId="0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0" fontId="18" fillId="2" borderId="0" xfId="0" applyFont="1" applyFill="1"/>
    <xf numFmtId="0" fontId="0" fillId="2" borderId="0" xfId="0" applyFill="1"/>
    <xf numFmtId="0" fontId="5" fillId="7" borderId="2" xfId="0" applyFont="1" applyFill="1" applyBorder="1" applyAlignment="1">
      <alignment horizontal="center" vertical="center" wrapText="1" readingOrder="1"/>
    </xf>
    <xf numFmtId="0" fontId="5" fillId="8" borderId="2" xfId="0" applyFont="1" applyFill="1" applyBorder="1" applyAlignment="1">
      <alignment horizontal="center" vertical="center" wrapText="1" readingOrder="1"/>
    </xf>
    <xf numFmtId="164" fontId="6" fillId="10" borderId="2" xfId="0" applyNumberFormat="1" applyFont="1" applyFill="1" applyBorder="1" applyAlignment="1">
      <alignment horizontal="center" vertical="center"/>
    </xf>
    <xf numFmtId="164" fontId="6" fillId="11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164" fontId="6" fillId="11" borderId="3" xfId="0" applyNumberFormat="1" applyFont="1" applyFill="1" applyBorder="1" applyAlignment="1">
      <alignment horizontal="center" vertical="center"/>
    </xf>
    <xf numFmtId="164" fontId="11" fillId="5" borderId="4" xfId="0" applyNumberFormat="1" applyFont="1" applyFill="1" applyBorder="1" applyAlignment="1">
      <alignment horizontal="center" vertical="center"/>
    </xf>
    <xf numFmtId="165" fontId="11" fillId="5" borderId="4" xfId="1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165" fontId="11" fillId="4" borderId="4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5" fontId="11" fillId="2" borderId="0" xfId="1" applyNumberFormat="1" applyFont="1" applyFill="1" applyBorder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165" fontId="11" fillId="5" borderId="5" xfId="1" applyNumberFormat="1" applyFont="1" applyFill="1" applyBorder="1" applyAlignment="1">
      <alignment horizontal="center" vertical="center"/>
    </xf>
    <xf numFmtId="165" fontId="11" fillId="4" borderId="5" xfId="0" applyNumberFormat="1" applyFont="1" applyFill="1" applyBorder="1" applyAlignment="1">
      <alignment horizontal="center" vertical="center"/>
    </xf>
    <xf numFmtId="166" fontId="16" fillId="12" borderId="0" xfId="0" applyNumberFormat="1" applyFont="1" applyFill="1" applyAlignment="1">
      <alignment horizontal="center"/>
    </xf>
    <xf numFmtId="165" fontId="16" fillId="12" borderId="0" xfId="0" applyNumberFormat="1" applyFont="1" applyFill="1" applyAlignment="1">
      <alignment horizontal="center"/>
    </xf>
    <xf numFmtId="166" fontId="17" fillId="12" borderId="0" xfId="0" applyNumberFormat="1" applyFont="1" applyFill="1" applyAlignment="1">
      <alignment horizontal="center"/>
    </xf>
    <xf numFmtId="0" fontId="20" fillId="2" borderId="0" xfId="0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2D4D5"/>
      <color rgb="FFD2BC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'Dos factores (1)'!$B$3</c:f>
              <c:strCache>
                <c:ptCount val="1"/>
                <c:pt idx="0">
                  <c:v>Menos de 5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'Dos factores (1)'!$C$2:$D$2</c:f>
              <c:strCache>
                <c:ptCount val="2"/>
                <c:pt idx="0">
                  <c:v>Tasa de movilidad A</c:v>
                </c:pt>
                <c:pt idx="1">
                  <c:v>Tasa de movilidad B</c:v>
                </c:pt>
              </c:strCache>
            </c:strRef>
          </c:cat>
          <c:val>
            <c:numRef>
              <c:f>'Dos factores (1)'!$C$3:$D$3</c:f>
              <c:numCache>
                <c:formatCode>General</c:formatCode>
                <c:ptCount val="2"/>
                <c:pt idx="0">
                  <c:v>2.9</c:v>
                </c:pt>
                <c:pt idx="1">
                  <c:v>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C-4A75-AA92-FA14D3B453F6}"/>
            </c:ext>
          </c:extLst>
        </c:ser>
        <c:ser>
          <c:idx val="1"/>
          <c:order val="1"/>
          <c:tx>
            <c:strRef>
              <c:f>'Dos factores (1)'!$B$4</c:f>
              <c:strCache>
                <c:ptCount val="1"/>
                <c:pt idx="0">
                  <c:v>Entre 5 y 9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'Dos factores (1)'!$C$2:$D$2</c:f>
              <c:strCache>
                <c:ptCount val="2"/>
                <c:pt idx="0">
                  <c:v>Tasa de movilidad A</c:v>
                </c:pt>
                <c:pt idx="1">
                  <c:v>Tasa de movilidad B</c:v>
                </c:pt>
              </c:strCache>
            </c:strRef>
          </c:cat>
          <c:val>
            <c:numRef>
              <c:f>'Dos factores (1)'!$C$4:$D$4</c:f>
              <c:numCache>
                <c:formatCode>General</c:formatCode>
                <c:ptCount val="2"/>
                <c:pt idx="0">
                  <c:v>3.82</c:v>
                </c:pt>
                <c:pt idx="1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C-4A75-AA92-FA14D3B453F6}"/>
            </c:ext>
          </c:extLst>
        </c:ser>
        <c:ser>
          <c:idx val="2"/>
          <c:order val="2"/>
          <c:tx>
            <c:strRef>
              <c:f>'Dos factores (1)'!$B$5</c:f>
              <c:strCache>
                <c:ptCount val="1"/>
                <c:pt idx="0">
                  <c:v>Más de 9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'Dos factores (1)'!$C$2:$D$2</c:f>
              <c:strCache>
                <c:ptCount val="2"/>
                <c:pt idx="0">
                  <c:v>Tasa de movilidad A</c:v>
                </c:pt>
                <c:pt idx="1">
                  <c:v>Tasa de movilidad B</c:v>
                </c:pt>
              </c:strCache>
            </c:strRef>
          </c:cat>
          <c:val>
            <c:numRef>
              <c:f>'Dos factores (1)'!$C$5:$D$5</c:f>
              <c:numCache>
                <c:formatCode>General</c:formatCode>
                <c:ptCount val="2"/>
                <c:pt idx="0">
                  <c:v>2.84</c:v>
                </c:pt>
                <c:pt idx="1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C-4A75-AA92-FA14D3B4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538175"/>
        <c:axId val="261539135"/>
      </c:barChart>
      <c:catAx>
        <c:axId val="26153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1539135"/>
        <c:crosses val="autoZero"/>
        <c:auto val="1"/>
        <c:lblAlgn val="ctr"/>
        <c:lblOffset val="100"/>
        <c:noMultiLvlLbl val="0"/>
      </c:catAx>
      <c:valAx>
        <c:axId val="26153913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6153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'Dos factores (1)'!$A$15</c:f>
              <c:strCache>
                <c:ptCount val="1"/>
                <c:pt idx="0">
                  <c:v>Migrantes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'Dos factores (1)'!$E$2:$F$2</c:f>
              <c:strCache>
                <c:ptCount val="2"/>
                <c:pt idx="0">
                  <c:v>Composición A</c:v>
                </c:pt>
                <c:pt idx="1">
                  <c:v>Composición B</c:v>
                </c:pt>
              </c:strCache>
            </c:strRef>
          </c:cat>
          <c:val>
            <c:numRef>
              <c:f>'Dos factores (1)'!$E$10:$F$10</c:f>
              <c:numCache>
                <c:formatCode>0.00</c:formatCode>
                <c:ptCount val="2"/>
                <c:pt idx="0">
                  <c:v>0.47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5C-479D-8808-50B62662E517}"/>
            </c:ext>
          </c:extLst>
        </c:ser>
        <c:ser>
          <c:idx val="1"/>
          <c:order val="1"/>
          <c:tx>
            <c:strRef>
              <c:f>'Dos factores (1)'!$B$15</c:f>
              <c:strCache>
                <c:ptCount val="1"/>
                <c:pt idx="0">
                  <c:v>No migrantes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'Dos factores (1)'!$E$2:$F$2</c:f>
              <c:strCache>
                <c:ptCount val="2"/>
                <c:pt idx="0">
                  <c:v>Composición A</c:v>
                </c:pt>
                <c:pt idx="1">
                  <c:v>Composición B</c:v>
                </c:pt>
              </c:strCache>
            </c:strRef>
          </c:cat>
          <c:val>
            <c:numRef>
              <c:f>'Dos factores (1)'!$E$14:$F$14</c:f>
              <c:numCache>
                <c:formatCode>0.00</c:formatCode>
                <c:ptCount val="2"/>
                <c:pt idx="0">
                  <c:v>0.53</c:v>
                </c:pt>
                <c:pt idx="1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5C-479D-8808-50B62662E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447935"/>
        <c:axId val="112458495"/>
      </c:barChart>
      <c:catAx>
        <c:axId val="11244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458495"/>
        <c:crosses val="autoZero"/>
        <c:auto val="1"/>
        <c:lblAlgn val="ctr"/>
        <c:lblOffset val="100"/>
        <c:noMultiLvlLbl val="0"/>
      </c:catAx>
      <c:valAx>
        <c:axId val="11245849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4479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'Dos factores (1)'!$C$2</c:f>
              <c:strCache>
                <c:ptCount val="1"/>
                <c:pt idx="0">
                  <c:v>Tasa de movilidad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'Dos factores (1)'!$B$3:$B$5</c:f>
              <c:strCache>
                <c:ptCount val="3"/>
                <c:pt idx="0">
                  <c:v>Menos de 5 años</c:v>
                </c:pt>
                <c:pt idx="1">
                  <c:v>Entre 5 y 9 años</c:v>
                </c:pt>
                <c:pt idx="2">
                  <c:v>Más de 9 años</c:v>
                </c:pt>
              </c:strCache>
            </c:strRef>
          </c:cat>
          <c:val>
            <c:numRef>
              <c:f>'Dos factores (1)'!$C$3:$C$5</c:f>
              <c:numCache>
                <c:formatCode>General</c:formatCode>
                <c:ptCount val="3"/>
                <c:pt idx="0">
                  <c:v>2.9</c:v>
                </c:pt>
                <c:pt idx="1">
                  <c:v>3.82</c:v>
                </c:pt>
                <c:pt idx="2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6-4DC3-8801-B40D9D52EFB1}"/>
            </c:ext>
          </c:extLst>
        </c:ser>
        <c:ser>
          <c:idx val="1"/>
          <c:order val="1"/>
          <c:tx>
            <c:strRef>
              <c:f>'Dos factores (1)'!$D$2</c:f>
              <c:strCache>
                <c:ptCount val="1"/>
                <c:pt idx="0">
                  <c:v>Tasa de movilidad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'Dos factores (1)'!$B$3:$B$5</c:f>
              <c:strCache>
                <c:ptCount val="3"/>
                <c:pt idx="0">
                  <c:v>Menos de 5 años</c:v>
                </c:pt>
                <c:pt idx="1">
                  <c:v>Entre 5 y 9 años</c:v>
                </c:pt>
                <c:pt idx="2">
                  <c:v>Más de 9 años</c:v>
                </c:pt>
              </c:strCache>
            </c:strRef>
          </c:cat>
          <c:val>
            <c:numRef>
              <c:f>'Dos factores (1)'!$D$3:$D$5</c:f>
              <c:numCache>
                <c:formatCode>General</c:formatCode>
                <c:ptCount val="3"/>
                <c:pt idx="0">
                  <c:v>2.42</c:v>
                </c:pt>
                <c:pt idx="1">
                  <c:v>3.26</c:v>
                </c:pt>
                <c:pt idx="2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6-4DC3-8801-B40D9D52E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062751"/>
        <c:axId val="147578287"/>
      </c:lineChart>
      <c:catAx>
        <c:axId val="25206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578287"/>
        <c:crosses val="autoZero"/>
        <c:auto val="1"/>
        <c:lblAlgn val="ctr"/>
        <c:lblOffset val="100"/>
        <c:noMultiLvlLbl val="0"/>
      </c:catAx>
      <c:valAx>
        <c:axId val="147578287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627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'Dos factores (1)'!$C$2</c:f>
              <c:strCache>
                <c:ptCount val="1"/>
                <c:pt idx="0">
                  <c:v>Tasa de movilidad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'Dos factores (1)'!$A$15:$B$15</c:f>
              <c:strCache>
                <c:ptCount val="2"/>
                <c:pt idx="0">
                  <c:v>Migrantes</c:v>
                </c:pt>
                <c:pt idx="1">
                  <c:v>No migrantes</c:v>
                </c:pt>
              </c:strCache>
            </c:strRef>
          </c:cat>
          <c:val>
            <c:numRef>
              <c:f>('Dos factores (1)'!$C$10,'Dos factores (1)'!$C$14)</c:f>
              <c:numCache>
                <c:formatCode>0.00</c:formatCode>
                <c:ptCount val="2"/>
                <c:pt idx="0">
                  <c:v>3.77</c:v>
                </c:pt>
                <c:pt idx="1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4-43F3-8485-205F8220F76C}"/>
            </c:ext>
          </c:extLst>
        </c:ser>
        <c:ser>
          <c:idx val="1"/>
          <c:order val="1"/>
          <c:tx>
            <c:strRef>
              <c:f>'Dos factores (1)'!$D$2</c:f>
              <c:strCache>
                <c:ptCount val="1"/>
                <c:pt idx="0">
                  <c:v>Tasa de movilidad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'Dos factores (1)'!$A$15:$B$15</c:f>
              <c:strCache>
                <c:ptCount val="2"/>
                <c:pt idx="0">
                  <c:v>Migrantes</c:v>
                </c:pt>
                <c:pt idx="1">
                  <c:v>No migrantes</c:v>
                </c:pt>
              </c:strCache>
            </c:strRef>
          </c:cat>
          <c:val>
            <c:numRef>
              <c:f>('Dos factores (1)'!$D$10,'Dos factores (1)'!$D$14)</c:f>
              <c:numCache>
                <c:formatCode>0.00</c:formatCode>
                <c:ptCount val="2"/>
                <c:pt idx="0">
                  <c:v>3.13</c:v>
                </c:pt>
                <c:pt idx="1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4-43F3-8485-205F8220F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062751"/>
        <c:axId val="147578287"/>
      </c:lineChart>
      <c:catAx>
        <c:axId val="25206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578287"/>
        <c:crosses val="autoZero"/>
        <c:auto val="1"/>
        <c:lblAlgn val="ctr"/>
        <c:lblOffset val="100"/>
        <c:noMultiLvlLbl val="0"/>
      </c:catAx>
      <c:valAx>
        <c:axId val="147578287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627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14</xdr:row>
      <xdr:rowOff>227134</xdr:rowOff>
    </xdr:from>
    <xdr:to>
      <xdr:col>3</xdr:col>
      <xdr:colOff>1181100</xdr:colOff>
      <xdr:row>28</xdr:row>
      <xdr:rowOff>168518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46F704D-CF8E-4152-9BED-CDE4BD3F5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430091</xdr:colOff>
      <xdr:row>14</xdr:row>
      <xdr:rowOff>228600</xdr:rowOff>
    </xdr:from>
    <xdr:to>
      <xdr:col>8</xdr:col>
      <xdr:colOff>63011</xdr:colOff>
      <xdr:row>28</xdr:row>
      <xdr:rowOff>175846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4DD3EE-890C-8B63-4F16-91AC2AF00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628650</xdr:colOff>
      <xdr:row>29</xdr:row>
      <xdr:rowOff>57150</xdr:rowOff>
    </xdr:from>
    <xdr:to>
      <xdr:col>3</xdr:col>
      <xdr:colOff>1195021</xdr:colOff>
      <xdr:row>40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69B6226-81C4-4940-ADAC-49F8A6711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438150</xdr:colOff>
      <xdr:row>29</xdr:row>
      <xdr:rowOff>47624</xdr:rowOff>
    </xdr:from>
    <xdr:to>
      <xdr:col>8</xdr:col>
      <xdr:colOff>57150</xdr:colOff>
      <xdr:row>40</xdr:row>
      <xdr:rowOff>142874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D9D6B48-29B6-4DC1-97CD-281B8C9C3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15</xdr:row>
      <xdr:rowOff>171449</xdr:rowOff>
    </xdr:from>
    <xdr:to>
      <xdr:col>9</xdr:col>
      <xdr:colOff>612774</xdr:colOff>
      <xdr:row>20</xdr:row>
      <xdr:rowOff>183682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8">
              <a:extLst>
                <a:ext uri="{FF2B5EF4-FFF2-40B4-BE49-F238E27FC236}">
                  <a16:creationId xmlns:a16="http://schemas.microsoft.com/office/drawing/2014/main" id="{D2EF7127-E306-0347-44C0-8E10908FBB3B}"/>
                </a:ext>
              </a:extLst>
            </xdr:cNvPr>
            <xdr:cNvSpPr txBox="1"/>
          </xdr:nvSpPr>
          <xdr:spPr>
            <a:xfrm>
              <a:off x="3248024" y="3914774"/>
              <a:ext cx="9185275" cy="120285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240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  <m:sup/>
                      <m:e>
                        <m: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/>
                      <m:e>
                        <m:f>
                          <m:f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 b="0" i="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  <m: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</m:e>
                        </m:d>
                      </m:e>
                    </m:nary>
                    <m:r>
                      <a:rPr lang="es-MX" sz="2400" b="0" i="1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  <m:sup/>
                      <m:e>
                        <m: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/>
                      <m:e>
                        <m:f>
                          <m:f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400" b="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 b="0" i="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</m:num>
                          <m:den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  <m: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</m:e>
                        </m:d>
                      </m:e>
                    </m:nary>
                  </m:oMath>
                </m:oMathPara>
              </a14:m>
              <a:endParaRPr lang="es-MX" sz="2400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" name="CuadroTexto 8">
              <a:extLst>
                <a:ext uri="{FF2B5EF4-FFF2-40B4-BE49-F238E27FC236}">
                  <a16:creationId xmlns:a16="http://schemas.microsoft.com/office/drawing/2014/main" id="{D2EF7127-E306-0347-44C0-8E10908FBB3B}"/>
                </a:ext>
              </a:extLst>
            </xdr:cNvPr>
            <xdr:cNvSpPr txBox="1"/>
          </xdr:nvSpPr>
          <xdr:spPr>
            <a:xfrm>
              <a:off x="3248024" y="3914774"/>
              <a:ext cx="9185275" cy="120285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−T= 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∑_i▒  ∑_j▒〖(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ij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T_ij)/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2 (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n_ij/n−N_ij/N) 〗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∑_i▒  ∑_j▒〖(n_ij/n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+𝑁_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ij/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N)/2 (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t_ij−T_ij ) 〗</a:t>
              </a:r>
              <a:endParaRPr lang="es-MX" sz="2400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15</xdr:row>
      <xdr:rowOff>171449</xdr:rowOff>
    </xdr:from>
    <xdr:to>
      <xdr:col>9</xdr:col>
      <xdr:colOff>612774</xdr:colOff>
      <xdr:row>20</xdr:row>
      <xdr:rowOff>183682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8">
              <a:extLst>
                <a:ext uri="{FF2B5EF4-FFF2-40B4-BE49-F238E27FC236}">
                  <a16:creationId xmlns:a16="http://schemas.microsoft.com/office/drawing/2014/main" id="{D6C2958F-1671-400D-8F5F-FAC04F547047}"/>
                </a:ext>
              </a:extLst>
            </xdr:cNvPr>
            <xdr:cNvSpPr txBox="1"/>
          </xdr:nvSpPr>
          <xdr:spPr>
            <a:xfrm>
              <a:off x="3248024" y="4219574"/>
              <a:ext cx="9185275" cy="120285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240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  <m:sup/>
                      <m:e>
                        <m: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/>
                      <m:e>
                        <m:f>
                          <m:f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 b="0" i="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  <m: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</m:e>
                        </m:d>
                      </m:e>
                    </m:nary>
                    <m:r>
                      <a:rPr lang="es-MX" sz="2400" b="0" i="1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  <m:sup/>
                      <m:e>
                        <m: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/>
                      <m:e>
                        <m:f>
                          <m:f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400" b="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 b="0" i="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</m:num>
                          <m:den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  <m: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</m:e>
                        </m:d>
                      </m:e>
                    </m:nary>
                  </m:oMath>
                </m:oMathPara>
              </a14:m>
              <a:endParaRPr lang="es-MX" sz="2400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" name="CuadroTexto 8">
              <a:extLst>
                <a:ext uri="{FF2B5EF4-FFF2-40B4-BE49-F238E27FC236}">
                  <a16:creationId xmlns:a16="http://schemas.microsoft.com/office/drawing/2014/main" id="{D6C2958F-1671-400D-8F5F-FAC04F547047}"/>
                </a:ext>
              </a:extLst>
            </xdr:cNvPr>
            <xdr:cNvSpPr txBox="1"/>
          </xdr:nvSpPr>
          <xdr:spPr>
            <a:xfrm>
              <a:off x="3248024" y="4219574"/>
              <a:ext cx="9185275" cy="120285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−T= 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∑_i▒  ∑_j▒〖(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ij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T_ij)/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2 (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n_ij/n−N_ij/N) 〗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∑_i▒  ∑_j▒〖(n_ij/n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+𝑁_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ij/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N)/2 (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t_ij−T_ij ) 〗</a:t>
              </a:r>
              <a:endParaRPr lang="es-MX" sz="2400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</mc:Fallback>
    </mc:AlternateContent>
    <xdr:clientData/>
  </xdr:twoCellAnchor>
  <xdr:twoCellAnchor>
    <xdr:from>
      <xdr:col>4</xdr:col>
      <xdr:colOff>419100</xdr:colOff>
      <xdr:row>16</xdr:row>
      <xdr:rowOff>123825</xdr:rowOff>
    </xdr:from>
    <xdr:to>
      <xdr:col>5</xdr:col>
      <xdr:colOff>104775</xdr:colOff>
      <xdr:row>20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E708036-F623-4159-97DB-0E0AC593C855}"/>
            </a:ext>
          </a:extLst>
        </xdr:cNvPr>
        <xdr:cNvSpPr/>
      </xdr:nvSpPr>
      <xdr:spPr>
        <a:xfrm>
          <a:off x="5781675" y="4410075"/>
          <a:ext cx="1047750" cy="876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4</xdr:col>
      <xdr:colOff>771525</xdr:colOff>
      <xdr:row>20</xdr:row>
      <xdr:rowOff>85725</xdr:rowOff>
    </xdr:from>
    <xdr:ext cx="340671" cy="46801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F0BBCD0-92ED-4A97-AD9B-E255F26F2A1E}"/>
            </a:ext>
          </a:extLst>
        </xdr:cNvPr>
        <xdr:cNvSpPr txBox="1"/>
      </xdr:nvSpPr>
      <xdr:spPr>
        <a:xfrm>
          <a:off x="6134100" y="5324475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400" b="1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7</xdr:col>
      <xdr:colOff>647700</xdr:colOff>
      <xdr:row>20</xdr:row>
      <xdr:rowOff>133350</xdr:rowOff>
    </xdr:from>
    <xdr:ext cx="340671" cy="468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2F8DEDC-ECF2-408C-BF6F-7276D5249F61}"/>
            </a:ext>
          </a:extLst>
        </xdr:cNvPr>
        <xdr:cNvSpPr txBox="1"/>
      </xdr:nvSpPr>
      <xdr:spPr>
        <a:xfrm>
          <a:off x="9925050" y="5372100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400" b="1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8</xdr:col>
      <xdr:colOff>704850</xdr:colOff>
      <xdr:row>20</xdr:row>
      <xdr:rowOff>123825</xdr:rowOff>
    </xdr:from>
    <xdr:ext cx="340671" cy="468013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4B6E239-04FE-4DD5-8E58-4076D92E872A}"/>
            </a:ext>
          </a:extLst>
        </xdr:cNvPr>
        <xdr:cNvSpPr txBox="1"/>
      </xdr:nvSpPr>
      <xdr:spPr>
        <a:xfrm>
          <a:off x="11172825" y="5362575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400" b="1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5</xdr:col>
      <xdr:colOff>619125</xdr:colOff>
      <xdr:row>20</xdr:row>
      <xdr:rowOff>85725</xdr:rowOff>
    </xdr:from>
    <xdr:ext cx="340671" cy="468013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B037E8D-E88D-4C80-9324-1A876FC37BB1}"/>
            </a:ext>
          </a:extLst>
        </xdr:cNvPr>
        <xdr:cNvSpPr txBox="1"/>
      </xdr:nvSpPr>
      <xdr:spPr>
        <a:xfrm>
          <a:off x="7343775" y="5324475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400" b="1">
              <a:solidFill>
                <a:srgbClr val="FF0000"/>
              </a:solidFill>
            </a:rPr>
            <a:t>4</a:t>
          </a:r>
        </a:p>
      </xdr:txBody>
    </xdr:sp>
    <xdr:clientData/>
  </xdr:oneCellAnchor>
  <xdr:twoCellAnchor>
    <xdr:from>
      <xdr:col>5</xdr:col>
      <xdr:colOff>123824</xdr:colOff>
      <xdr:row>16</xdr:row>
      <xdr:rowOff>123825</xdr:rowOff>
    </xdr:from>
    <xdr:to>
      <xdr:col>6</xdr:col>
      <xdr:colOff>123824</xdr:colOff>
      <xdr:row>20</xdr:row>
      <xdr:rowOff>47625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9B9B766-6C8B-495E-8921-66327AB90C13}"/>
            </a:ext>
          </a:extLst>
        </xdr:cNvPr>
        <xdr:cNvSpPr/>
      </xdr:nvSpPr>
      <xdr:spPr>
        <a:xfrm>
          <a:off x="6848474" y="4410075"/>
          <a:ext cx="1362075" cy="876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285750</xdr:colOff>
      <xdr:row>15</xdr:row>
      <xdr:rowOff>142875</xdr:rowOff>
    </xdr:from>
    <xdr:to>
      <xdr:col>8</xdr:col>
      <xdr:colOff>209551</xdr:colOff>
      <xdr:row>20</xdr:row>
      <xdr:rowOff>95250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13A313D-41DA-48D0-B8C2-2FB1E5FEF6A5}"/>
            </a:ext>
          </a:extLst>
        </xdr:cNvPr>
        <xdr:cNvSpPr/>
      </xdr:nvSpPr>
      <xdr:spPr>
        <a:xfrm>
          <a:off x="9563100" y="4191000"/>
          <a:ext cx="1114426" cy="1143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228600</xdr:colOff>
      <xdr:row>17</xdr:row>
      <xdr:rowOff>180975</xdr:rowOff>
    </xdr:from>
    <xdr:to>
      <xdr:col>9</xdr:col>
      <xdr:colOff>114300</xdr:colOff>
      <xdr:row>19</xdr:row>
      <xdr:rowOff>142875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FD29117-4A94-48A9-A74A-9F4CE528610F}"/>
            </a:ext>
          </a:extLst>
        </xdr:cNvPr>
        <xdr:cNvSpPr/>
      </xdr:nvSpPr>
      <xdr:spPr>
        <a:xfrm>
          <a:off x="10696575" y="4657725"/>
          <a:ext cx="1238250" cy="533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419099</xdr:colOff>
      <xdr:row>17</xdr:row>
      <xdr:rowOff>9524</xdr:rowOff>
    </xdr:from>
    <xdr:to>
      <xdr:col>12</xdr:col>
      <xdr:colOff>450849</xdr:colOff>
      <xdr:row>21</xdr:row>
      <xdr:rowOff>69382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8">
              <a:extLst>
                <a:ext uri="{FF2B5EF4-FFF2-40B4-BE49-F238E27FC236}">
                  <a16:creationId xmlns:a16="http://schemas.microsoft.com/office/drawing/2014/main" id="{D0109E2A-BD00-4AB9-8191-635E9155CAEE}"/>
                </a:ext>
              </a:extLst>
            </xdr:cNvPr>
            <xdr:cNvSpPr txBox="1"/>
          </xdr:nvSpPr>
          <xdr:spPr>
            <a:xfrm>
              <a:off x="7143749" y="4448174"/>
              <a:ext cx="9185275" cy="121238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240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MX" sz="2400" b="0" i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  <m:sup/>
                      <m:e>
                        <m: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/>
                      <m:e>
                        <m:f>
                          <m:f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 b="0" i="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  <m: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</m:e>
                        </m:d>
                      </m:e>
                    </m:nary>
                    <m:r>
                      <a:rPr lang="es-MX" sz="2400" b="0" i="1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  <m:sup/>
                      <m:e>
                        <m: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nary>
                      <m:naryPr>
                        <m:chr m:val="∑"/>
                        <m:supHide m:val="on"/>
                        <m:ctrlPr>
                          <a:rPr lang="es-MX" sz="2400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s-MX" sz="240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/>
                      <m:e>
                        <m:f>
                          <m:f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n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240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400" b="0" i="1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s-MX" sz="2400">
                                        <a:solidFill>
                                          <a:schemeClr val="tx1">
                                            <a:lumMod val="65000"/>
                                            <a:lumOff val="3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ij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2400" b="0" i="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</m:den>
                            </m:f>
                          </m:num>
                          <m:den>
                            <m:r>
                              <a:rPr lang="es-MX" sz="2400" b="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  <m:r>
                              <a:rPr lang="es-MX" sz="2400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2400" i="1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2400">
                                    <a:solidFill>
                                      <a:schemeClr val="tx1">
                                        <a:lumMod val="65000"/>
                                        <a:lumOff val="3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ij</m:t>
                                </m:r>
                              </m:sub>
                            </m:sSub>
                          </m:e>
                        </m:d>
                      </m:e>
                    </m:nary>
                  </m:oMath>
                </m:oMathPara>
              </a14:m>
              <a:endParaRPr lang="es-MX" sz="2400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" name="CuadroTexto 8">
              <a:extLst>
                <a:ext uri="{FF2B5EF4-FFF2-40B4-BE49-F238E27FC236}">
                  <a16:creationId xmlns:a16="http://schemas.microsoft.com/office/drawing/2014/main" id="{D0109E2A-BD00-4AB9-8191-635E9155CAEE}"/>
                </a:ext>
              </a:extLst>
            </xdr:cNvPr>
            <xdr:cNvSpPr txBox="1"/>
          </xdr:nvSpPr>
          <xdr:spPr>
            <a:xfrm>
              <a:off x="7143749" y="4448174"/>
              <a:ext cx="9185275" cy="121238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−T= 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∑_i▒  ∑_j▒〖(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ij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T_ij)/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2 (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n_ij/n−N_ij/N) 〗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∑_i▒  ∑_j▒〖(n_ij/n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+𝑁_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ij/</a:t>
              </a:r>
              <a:r>
                <a:rPr lang="es-MX" sz="2400" b="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N)/2 (</a:t>
              </a:r>
              <a:r>
                <a:rPr lang="es-MX" sz="2400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t_ij−T_ij ) 〗</a:t>
              </a:r>
              <a:endParaRPr lang="es-MX" sz="2400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AC04-0B4D-469A-8A98-8FAA09326296}">
  <dimension ref="A2:Q176"/>
  <sheetViews>
    <sheetView zoomScaleNormal="100" workbookViewId="0">
      <selection activeCell="J35" sqref="J35"/>
    </sheetView>
  </sheetViews>
  <sheetFormatPr baseColWidth="10" defaultRowHeight="15" x14ac:dyDescent="0.25"/>
  <cols>
    <col min="1" max="1" width="19.140625" style="1" customWidth="1"/>
    <col min="2" max="6" width="20.42578125" style="1" customWidth="1"/>
    <col min="7" max="8" width="17.85546875" style="1" customWidth="1"/>
    <col min="9" max="12" width="20.28515625" style="1" customWidth="1"/>
    <col min="13" max="15" width="19" style="1" customWidth="1"/>
    <col min="16" max="16384" width="11.42578125" style="1"/>
  </cols>
  <sheetData>
    <row r="2" spans="1:17" ht="54.75" customHeight="1" x14ac:dyDescent="0.25">
      <c r="A2" s="7" t="s">
        <v>16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8</v>
      </c>
      <c r="G2" s="10"/>
      <c r="H2" s="10"/>
      <c r="I2" s="10"/>
      <c r="J2" s="10"/>
      <c r="K2" s="10"/>
      <c r="L2" s="10"/>
      <c r="M2" s="10"/>
      <c r="N2" s="10"/>
      <c r="O2" s="10"/>
    </row>
    <row r="3" spans="1:17" ht="18.75" customHeight="1" x14ac:dyDescent="0.25">
      <c r="A3" s="79" t="s">
        <v>17</v>
      </c>
      <c r="B3" s="2" t="s">
        <v>4</v>
      </c>
      <c r="C3" s="14">
        <v>2.9</v>
      </c>
      <c r="D3" s="14">
        <v>2.42</v>
      </c>
      <c r="E3" s="15">
        <v>0.11</v>
      </c>
      <c r="F3" s="15">
        <v>7.0000000000000007E-2</v>
      </c>
      <c r="G3" s="5"/>
      <c r="H3" s="5"/>
      <c r="I3" s="13"/>
      <c r="J3" s="23"/>
      <c r="K3" s="13"/>
      <c r="L3" s="13"/>
    </row>
    <row r="4" spans="1:17" ht="18.75" customHeight="1" x14ac:dyDescent="0.25">
      <c r="A4" s="80"/>
      <c r="B4" s="4" t="s">
        <v>5</v>
      </c>
      <c r="C4" s="16">
        <v>3.82</v>
      </c>
      <c r="D4" s="16">
        <v>3.26</v>
      </c>
      <c r="E4" s="17">
        <v>0.3</v>
      </c>
      <c r="F4" s="17">
        <v>0.26</v>
      </c>
      <c r="G4" s="5"/>
      <c r="H4" s="5"/>
      <c r="I4" s="13"/>
      <c r="J4" s="23"/>
      <c r="K4" s="13"/>
      <c r="L4" s="13"/>
    </row>
    <row r="5" spans="1:17" ht="18.75" customHeight="1" x14ac:dyDescent="0.25">
      <c r="A5" s="80"/>
      <c r="B5" s="4" t="s">
        <v>6</v>
      </c>
      <c r="C5" s="16">
        <v>2.84</v>
      </c>
      <c r="D5" s="16">
        <v>2.0299999999999998</v>
      </c>
      <c r="E5" s="17">
        <v>0.59</v>
      </c>
      <c r="F5" s="17">
        <v>0.67</v>
      </c>
      <c r="G5" s="5"/>
      <c r="H5" s="5"/>
      <c r="I5" s="13"/>
      <c r="J5" s="23"/>
      <c r="K5" s="13"/>
      <c r="L5" s="13"/>
    </row>
    <row r="6" spans="1:17" ht="18.75" customHeight="1" x14ac:dyDescent="0.25">
      <c r="A6" s="81"/>
      <c r="B6" s="6" t="s">
        <v>7</v>
      </c>
      <c r="C6" s="11">
        <v>3.14</v>
      </c>
      <c r="D6" s="11">
        <v>2.37</v>
      </c>
      <c r="E6" s="11">
        <f>SUM(E3:E5)</f>
        <v>1</v>
      </c>
      <c r="F6" s="11">
        <f>SUM(F3:F5)</f>
        <v>1</v>
      </c>
      <c r="G6" s="13"/>
      <c r="H6" s="13"/>
      <c r="I6" s="25"/>
      <c r="J6" s="25"/>
      <c r="K6" s="25"/>
      <c r="L6" s="25"/>
    </row>
    <row r="7" spans="1:17" ht="18.75" customHeight="1" x14ac:dyDescent="0.25">
      <c r="A7" s="79" t="s">
        <v>18</v>
      </c>
      <c r="B7" s="2" t="s">
        <v>4</v>
      </c>
      <c r="C7" s="14">
        <v>2.89</v>
      </c>
      <c r="D7" s="14">
        <v>2.29</v>
      </c>
      <c r="E7" s="15">
        <v>0.06</v>
      </c>
      <c r="F7" s="15">
        <v>0.01</v>
      </c>
      <c r="G7" s="5"/>
      <c r="H7" s="19"/>
      <c r="I7" s="19"/>
      <c r="J7" s="19"/>
      <c r="K7" s="5"/>
      <c r="L7" s="5"/>
      <c r="M7" s="5"/>
      <c r="N7" s="5"/>
      <c r="O7" s="5"/>
      <c r="P7" s="5"/>
      <c r="Q7" s="5"/>
    </row>
    <row r="8" spans="1:17" ht="18.75" customHeight="1" x14ac:dyDescent="0.25">
      <c r="A8" s="80"/>
      <c r="B8" s="4" t="s">
        <v>5</v>
      </c>
      <c r="C8" s="16">
        <v>4.07</v>
      </c>
      <c r="D8" s="16">
        <v>3.43</v>
      </c>
      <c r="E8" s="17">
        <v>0.17</v>
      </c>
      <c r="F8" s="17">
        <v>0.04</v>
      </c>
      <c r="G8" s="5"/>
      <c r="H8" s="19"/>
      <c r="I8" s="19"/>
      <c r="J8" s="19"/>
      <c r="K8" s="5"/>
      <c r="L8" s="5"/>
      <c r="M8" s="5"/>
      <c r="N8" s="5"/>
      <c r="O8" s="5"/>
      <c r="P8" s="5"/>
      <c r="Q8" s="5"/>
    </row>
    <row r="9" spans="1:17" ht="18.75" customHeight="1" x14ac:dyDescent="0.25">
      <c r="A9" s="80"/>
      <c r="B9" s="4" t="s">
        <v>6</v>
      </c>
      <c r="C9" s="16">
        <v>3.79</v>
      </c>
      <c r="D9" s="16">
        <v>3.15</v>
      </c>
      <c r="E9" s="17">
        <v>0.24</v>
      </c>
      <c r="F9" s="17">
        <v>0.08</v>
      </c>
      <c r="G9" s="5"/>
      <c r="H9" s="19"/>
      <c r="I9" s="19"/>
      <c r="J9" s="19"/>
      <c r="K9" s="5"/>
      <c r="L9" s="5"/>
      <c r="M9" s="5"/>
      <c r="N9" s="5"/>
      <c r="O9" s="5"/>
      <c r="P9" s="5"/>
      <c r="Q9" s="5"/>
    </row>
    <row r="10" spans="1:17" ht="18.75" customHeight="1" x14ac:dyDescent="0.25">
      <c r="A10" s="81"/>
      <c r="B10" s="6" t="s">
        <v>7</v>
      </c>
      <c r="C10" s="11">
        <v>3.77</v>
      </c>
      <c r="D10" s="11">
        <v>3.13</v>
      </c>
      <c r="E10" s="11">
        <f>SUM(E7:E9)</f>
        <v>0.47</v>
      </c>
      <c r="F10" s="11">
        <f>SUM(F7:F9)</f>
        <v>0.13</v>
      </c>
      <c r="G10" s="19"/>
      <c r="H10" s="22"/>
      <c r="I10" s="22"/>
      <c r="J10" s="41"/>
      <c r="K10" s="22"/>
      <c r="L10" s="22"/>
      <c r="M10" s="5"/>
      <c r="N10" s="5"/>
      <c r="O10" s="5"/>
      <c r="P10" s="5"/>
      <c r="Q10" s="5"/>
    </row>
    <row r="11" spans="1:17" ht="18.75" customHeight="1" x14ac:dyDescent="0.25">
      <c r="A11" s="79" t="s">
        <v>19</v>
      </c>
      <c r="B11" s="2" t="s">
        <v>4</v>
      </c>
      <c r="C11" s="14">
        <v>2.92</v>
      </c>
      <c r="D11" s="14">
        <v>2.4500000000000002</v>
      </c>
      <c r="E11" s="15">
        <v>0.05</v>
      </c>
      <c r="F11" s="15">
        <v>0.06</v>
      </c>
      <c r="G11" s="5"/>
      <c r="H11" s="19"/>
      <c r="I11" s="19"/>
      <c r="J11" s="19"/>
      <c r="K11" s="5"/>
      <c r="L11" s="5"/>
      <c r="M11" s="5"/>
      <c r="N11" s="5"/>
      <c r="O11" s="5"/>
      <c r="P11" s="5"/>
      <c r="Q11" s="5"/>
    </row>
    <row r="12" spans="1:17" ht="18.75" customHeight="1" x14ac:dyDescent="0.25">
      <c r="A12" s="80"/>
      <c r="B12" s="4" t="s">
        <v>5</v>
      </c>
      <c r="C12" s="16">
        <v>3.49</v>
      </c>
      <c r="D12" s="16">
        <v>3.23</v>
      </c>
      <c r="E12" s="17">
        <v>0.13</v>
      </c>
      <c r="F12" s="17">
        <v>0.22</v>
      </c>
      <c r="G12" s="5"/>
      <c r="H12" s="19"/>
      <c r="I12" s="19"/>
      <c r="J12" s="19"/>
      <c r="K12" s="5"/>
      <c r="L12" s="5"/>
      <c r="M12" s="5"/>
      <c r="N12" s="5"/>
      <c r="O12" s="5"/>
      <c r="P12" s="5"/>
      <c r="Q12" s="5"/>
    </row>
    <row r="13" spans="1:17" ht="18.75" customHeight="1" x14ac:dyDescent="0.25">
      <c r="A13" s="80"/>
      <c r="B13" s="4" t="s">
        <v>6</v>
      </c>
      <c r="C13" s="16">
        <v>2.2000000000000002</v>
      </c>
      <c r="D13" s="16">
        <v>1.88</v>
      </c>
      <c r="E13" s="17">
        <v>0.35</v>
      </c>
      <c r="F13" s="17">
        <v>0.59</v>
      </c>
      <c r="G13" s="5"/>
      <c r="H13" s="19"/>
      <c r="I13" s="19"/>
      <c r="J13" s="19"/>
      <c r="K13" s="5"/>
      <c r="L13" s="5"/>
      <c r="M13" s="5"/>
      <c r="N13" s="5"/>
      <c r="O13" s="5"/>
      <c r="P13" s="5"/>
      <c r="Q13" s="5"/>
    </row>
    <row r="14" spans="1:17" ht="18.75" customHeight="1" x14ac:dyDescent="0.25">
      <c r="A14" s="81"/>
      <c r="B14" s="6" t="s">
        <v>7</v>
      </c>
      <c r="C14" s="11">
        <v>2.58</v>
      </c>
      <c r="D14" s="11">
        <v>2.2599999999999998</v>
      </c>
      <c r="E14" s="11">
        <f>SUM(E11:E13)</f>
        <v>0.53</v>
      </c>
      <c r="F14" s="11">
        <f>SUM(F11:F13)</f>
        <v>0.87</v>
      </c>
      <c r="G14" s="19"/>
      <c r="H14" s="22"/>
      <c r="I14" s="22"/>
      <c r="J14" s="41"/>
      <c r="K14" s="22"/>
      <c r="L14" s="22"/>
      <c r="M14" s="5"/>
      <c r="N14" s="5"/>
      <c r="O14" s="5"/>
      <c r="P14" s="5"/>
      <c r="Q14" s="5"/>
    </row>
    <row r="15" spans="1:17" ht="18.75" customHeight="1" x14ac:dyDescent="0.25">
      <c r="A15" s="12" t="s">
        <v>18</v>
      </c>
      <c r="B15" s="12" t="s">
        <v>19</v>
      </c>
      <c r="M15" s="24"/>
      <c r="N15" s="24"/>
      <c r="O15" s="24"/>
      <c r="P15" s="24"/>
      <c r="Q15" s="5"/>
    </row>
    <row r="16" spans="1:17" ht="18.75" customHeight="1" x14ac:dyDescent="0.25"/>
    <row r="32" spans="2:2" ht="21" x14ac:dyDescent="0.35">
      <c r="B32" s="8"/>
    </row>
    <row r="33" spans="2:11" ht="24" x14ac:dyDescent="0.25">
      <c r="B33" s="37"/>
    </row>
    <row r="34" spans="2:11" ht="15.75" thickBot="1" x14ac:dyDescent="0.3"/>
    <row r="35" spans="2:11" s="9" customFormat="1" ht="25.5" customHeight="1" thickTop="1" thickBot="1" x14ac:dyDescent="0.4">
      <c r="D35" s="38"/>
      <c r="E35" s="39"/>
    </row>
    <row r="36" spans="2:11" s="9" customFormat="1" ht="25.5" customHeight="1" thickTop="1" thickBot="1" x14ac:dyDescent="0.4">
      <c r="D36" s="38"/>
      <c r="E36" s="40"/>
    </row>
    <row r="37" spans="2:11" ht="15.75" thickTop="1" x14ac:dyDescent="0.25"/>
    <row r="40" spans="2:11" ht="18.75" x14ac:dyDescent="0.3">
      <c r="B40" s="33"/>
      <c r="C40" s="32"/>
      <c r="D40" s="32"/>
      <c r="E40" s="32"/>
      <c r="F40" s="32"/>
      <c r="G40" s="32"/>
      <c r="H40" s="32"/>
      <c r="I40" s="32"/>
      <c r="J40" s="32"/>
      <c r="K40" s="32"/>
    </row>
    <row r="41" spans="2:11" ht="15.75" x14ac:dyDescent="0.25">
      <c r="B41" s="10"/>
      <c r="C41" s="10"/>
      <c r="D41" s="10"/>
      <c r="E41" s="10"/>
      <c r="F41" s="10"/>
      <c r="G41" s="10"/>
      <c r="H41" s="10"/>
      <c r="I41" s="10"/>
      <c r="J41" s="32"/>
      <c r="K41" s="32"/>
    </row>
    <row r="42" spans="2:11" ht="15.75" x14ac:dyDescent="0.25">
      <c r="B42" s="32"/>
      <c r="C42" s="32"/>
      <c r="D42" s="32"/>
      <c r="E42" s="32"/>
      <c r="F42" s="32"/>
      <c r="G42" s="32"/>
      <c r="H42" s="32"/>
      <c r="I42" s="32"/>
      <c r="J42" s="32"/>
      <c r="K42" s="32"/>
    </row>
    <row r="43" spans="2:11" ht="15.75" x14ac:dyDescent="0.25">
      <c r="B43" s="32"/>
      <c r="C43" s="32"/>
      <c r="D43" s="32"/>
      <c r="E43" s="32"/>
      <c r="F43" s="32"/>
      <c r="G43" s="32"/>
      <c r="H43" s="32"/>
      <c r="I43" s="32"/>
      <c r="J43" s="32"/>
      <c r="K43" s="32"/>
    </row>
    <row r="44" spans="2:11" ht="15.75" x14ac:dyDescent="0.25"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2:11" ht="18.75" x14ac:dyDescent="0.3">
      <c r="B45" s="33"/>
      <c r="C45" s="32"/>
      <c r="D45" s="32"/>
      <c r="E45" s="32"/>
      <c r="F45" s="32"/>
      <c r="G45" s="32"/>
      <c r="H45" s="32"/>
      <c r="I45" s="32"/>
      <c r="J45" s="32"/>
      <c r="K45" s="32"/>
    </row>
    <row r="46" spans="2:11" ht="15.75" x14ac:dyDescent="0.25">
      <c r="B46" s="10"/>
      <c r="C46" s="10"/>
      <c r="D46" s="10"/>
      <c r="E46" s="10"/>
      <c r="F46" s="10"/>
      <c r="G46" s="10"/>
      <c r="H46" s="10"/>
      <c r="I46" s="10"/>
      <c r="J46" s="32"/>
      <c r="K46" s="32"/>
    </row>
    <row r="47" spans="2:11" ht="15.75" x14ac:dyDescent="0.25"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2:11" ht="15.75" x14ac:dyDescent="0.25"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2:11" ht="15.75" x14ac:dyDescent="0.25"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2:11" ht="15.75" x14ac:dyDescent="0.25"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2:11" ht="15.75" x14ac:dyDescent="0.25"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2:11" ht="15.75" x14ac:dyDescent="0.25"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2:11" ht="15.75" x14ac:dyDescent="0.25"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2:11" ht="15.75" x14ac:dyDescent="0.25"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2:11" ht="15.75" x14ac:dyDescent="0.25"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2:11" ht="15.75" x14ac:dyDescent="0.25"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2:11" ht="15.75" x14ac:dyDescent="0.25"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2:11" ht="15.75" x14ac:dyDescent="0.25"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spans="2:11" ht="15.75" x14ac:dyDescent="0.25"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spans="2:11" ht="15.75" x14ac:dyDescent="0.25">
      <c r="B60" s="32"/>
      <c r="C60" s="32"/>
      <c r="D60" s="32"/>
      <c r="E60" s="32"/>
      <c r="F60" s="32"/>
      <c r="G60" s="32"/>
      <c r="H60" s="32"/>
      <c r="I60" s="32"/>
      <c r="J60" s="32"/>
      <c r="K60" s="32"/>
    </row>
    <row r="61" spans="2:11" ht="15.75" x14ac:dyDescent="0.25">
      <c r="B61" s="32"/>
      <c r="C61" s="32"/>
      <c r="D61" s="32"/>
      <c r="E61" s="32"/>
      <c r="F61" s="32"/>
      <c r="G61" s="32"/>
      <c r="H61" s="32"/>
      <c r="I61" s="32"/>
      <c r="J61" s="32"/>
      <c r="K61" s="32"/>
    </row>
    <row r="62" spans="2:11" ht="15.75" x14ac:dyDescent="0.25">
      <c r="B62" s="32"/>
      <c r="C62" s="32"/>
      <c r="D62" s="32"/>
      <c r="E62" s="32"/>
      <c r="F62" s="32"/>
      <c r="G62" s="32"/>
      <c r="H62" s="32"/>
      <c r="I62" s="32"/>
      <c r="J62" s="32"/>
      <c r="K62" s="32"/>
    </row>
    <row r="63" spans="2:11" ht="15.75" x14ac:dyDescent="0.25"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pans="2:11" ht="15.75" x14ac:dyDescent="0.25">
      <c r="B64" s="32"/>
      <c r="C64" s="32"/>
      <c r="D64" s="32"/>
      <c r="E64" s="32"/>
      <c r="F64" s="32"/>
      <c r="G64" s="32"/>
      <c r="H64" s="32"/>
      <c r="I64" s="32"/>
      <c r="J64" s="32"/>
      <c r="K64" s="32"/>
    </row>
    <row r="65" spans="2:11" ht="15.75" x14ac:dyDescent="0.25">
      <c r="B65" s="32"/>
      <c r="C65" s="32"/>
      <c r="D65" s="32"/>
      <c r="E65" s="32"/>
      <c r="F65" s="32"/>
      <c r="G65" s="32"/>
      <c r="H65" s="32"/>
      <c r="I65" s="32"/>
      <c r="J65" s="32"/>
      <c r="K65" s="32"/>
    </row>
    <row r="66" spans="2:1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2:1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spans="2:1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spans="2:1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spans="2:1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spans="2:1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spans="2:1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spans="2:1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spans="2:1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spans="2:1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spans="2:1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spans="2:1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spans="2:1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spans="2:1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2:1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2:1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spans="2:1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spans="2:1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spans="2:1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spans="2:1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spans="2:1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spans="2:1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spans="2:1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spans="2:1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spans="2:1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spans="2:1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spans="2:1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spans="2:1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spans="2:1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spans="2:1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spans="2:1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spans="2:1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spans="2:1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spans="2:1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spans="2:1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spans="2:1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spans="2:1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spans="2:1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spans="2:1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spans="2:1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spans="2:1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spans="2:1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spans="2:1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 spans="2:1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 spans="2:11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 spans="2:11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 spans="2:11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spans="2:11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spans="2:11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spans="2:11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 spans="2:11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2:11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spans="2:11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spans="2:11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 spans="2:11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 spans="2:11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 spans="2:11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 spans="2:11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 spans="2:11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 spans="2:11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 spans="2:11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  <row r="128" spans="2:11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 spans="2:11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 spans="2:11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 spans="2:11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</row>
    <row r="132" spans="2:11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</row>
    <row r="133" spans="2:11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</row>
    <row r="134" spans="2:11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 spans="2:11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</row>
    <row r="136" spans="2:11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</row>
    <row r="137" spans="2:11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</row>
    <row r="138" spans="2:11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</row>
    <row r="139" spans="2:11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</row>
    <row r="140" spans="2:11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</row>
    <row r="141" spans="2:11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 spans="2:11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</row>
    <row r="143" spans="2:11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</row>
    <row r="144" spans="2:11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 spans="2:11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</row>
    <row r="146" spans="2:11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 spans="2:11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 spans="2:11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 spans="2:11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 spans="2:11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 spans="2:11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 spans="2:11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spans="2:11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</row>
    <row r="154" spans="2:11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spans="2:11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spans="2:11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</row>
    <row r="157" spans="2:11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</row>
    <row r="158" spans="2:11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</row>
    <row r="159" spans="2:11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</row>
    <row r="160" spans="2:11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</row>
    <row r="161" spans="2:11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  <row r="162" spans="2:11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</row>
    <row r="163" spans="2:11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</row>
    <row r="164" spans="2:11" x14ac:dyDescent="0.25">
      <c r="B164" s="31"/>
      <c r="C164" s="31"/>
      <c r="D164" s="31"/>
      <c r="E164" s="31"/>
      <c r="F164" s="31"/>
      <c r="G164" s="31"/>
      <c r="H164" s="31"/>
      <c r="I164" s="31"/>
      <c r="J164" s="31"/>
      <c r="K164" s="31"/>
    </row>
    <row r="165" spans="2:11" x14ac:dyDescent="0.25">
      <c r="B165" s="31"/>
      <c r="C165" s="31"/>
      <c r="D165" s="31"/>
      <c r="E165" s="31"/>
      <c r="F165" s="31"/>
      <c r="G165" s="31"/>
      <c r="H165" s="31"/>
      <c r="I165" s="31"/>
      <c r="J165" s="31"/>
      <c r="K165" s="31"/>
    </row>
    <row r="166" spans="2:11" x14ac:dyDescent="0.25">
      <c r="B166" s="31"/>
      <c r="C166" s="31"/>
      <c r="D166" s="31"/>
      <c r="E166" s="31"/>
      <c r="F166" s="31"/>
      <c r="G166" s="31"/>
      <c r="H166" s="31"/>
      <c r="I166" s="31"/>
      <c r="J166" s="31"/>
      <c r="K166" s="31"/>
    </row>
    <row r="167" spans="2:11" x14ac:dyDescent="0.25">
      <c r="B167" s="31"/>
      <c r="C167" s="31"/>
      <c r="D167" s="31"/>
      <c r="E167" s="31"/>
      <c r="F167" s="31"/>
      <c r="G167" s="31"/>
      <c r="H167" s="31"/>
      <c r="I167" s="31"/>
      <c r="J167" s="31"/>
      <c r="K167" s="31"/>
    </row>
    <row r="168" spans="2:11" x14ac:dyDescent="0.25">
      <c r="B168" s="31"/>
      <c r="C168" s="31"/>
      <c r="D168" s="31"/>
      <c r="E168" s="31"/>
      <c r="F168" s="31"/>
      <c r="G168" s="31"/>
      <c r="H168" s="31"/>
      <c r="I168" s="31"/>
      <c r="J168" s="31"/>
      <c r="K168" s="31"/>
    </row>
    <row r="169" spans="2:11" x14ac:dyDescent="0.25">
      <c r="B169" s="31"/>
      <c r="C169" s="31"/>
      <c r="D169" s="31"/>
      <c r="E169" s="31"/>
      <c r="F169" s="31"/>
      <c r="G169" s="31"/>
      <c r="H169" s="31"/>
      <c r="I169" s="31"/>
      <c r="J169" s="31"/>
      <c r="K169" s="31"/>
    </row>
    <row r="170" spans="2:11" x14ac:dyDescent="0.25">
      <c r="B170" s="31"/>
      <c r="C170" s="31"/>
      <c r="D170" s="31"/>
      <c r="E170" s="31"/>
      <c r="F170" s="31"/>
      <c r="G170" s="31"/>
      <c r="H170" s="31"/>
      <c r="I170" s="31"/>
      <c r="J170" s="31"/>
      <c r="K170" s="31"/>
    </row>
    <row r="171" spans="2:11" x14ac:dyDescent="0.25"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 spans="2:11" x14ac:dyDescent="0.25">
      <c r="B172" s="31"/>
      <c r="C172" s="31"/>
      <c r="D172" s="31"/>
      <c r="E172" s="31"/>
      <c r="F172" s="31"/>
      <c r="G172" s="31"/>
      <c r="H172" s="31"/>
      <c r="I172" s="31"/>
      <c r="J172" s="31"/>
      <c r="K172" s="31"/>
    </row>
    <row r="173" spans="2:11" x14ac:dyDescent="0.25">
      <c r="B173" s="31"/>
      <c r="C173" s="31"/>
      <c r="D173" s="31"/>
      <c r="E173" s="31"/>
      <c r="F173" s="31"/>
      <c r="G173" s="31"/>
      <c r="H173" s="31"/>
      <c r="I173" s="31"/>
      <c r="J173" s="31"/>
      <c r="K173" s="31"/>
    </row>
    <row r="174" spans="2:11" x14ac:dyDescent="0.25">
      <c r="B174" s="31"/>
      <c r="C174" s="31"/>
      <c r="D174" s="31"/>
      <c r="E174" s="31"/>
      <c r="F174" s="31"/>
      <c r="G174" s="31"/>
      <c r="H174" s="31"/>
      <c r="I174" s="31"/>
      <c r="J174" s="31"/>
      <c r="K174" s="31"/>
    </row>
    <row r="175" spans="2:11" x14ac:dyDescent="0.25">
      <c r="B175" s="31"/>
      <c r="C175" s="31"/>
      <c r="D175" s="31"/>
      <c r="E175" s="31"/>
      <c r="F175" s="31"/>
      <c r="G175" s="31"/>
      <c r="H175" s="31"/>
      <c r="I175" s="31"/>
      <c r="J175" s="31"/>
      <c r="K175" s="31"/>
    </row>
    <row r="176" spans="2:11" x14ac:dyDescent="0.25">
      <c r="B176" s="31"/>
      <c r="C176" s="31"/>
      <c r="D176" s="31"/>
      <c r="E176" s="31"/>
      <c r="F176" s="31"/>
      <c r="G176" s="31"/>
      <c r="H176" s="31"/>
      <c r="I176" s="31"/>
      <c r="J176" s="31"/>
      <c r="K176" s="31"/>
    </row>
  </sheetData>
  <mergeCells count="3">
    <mergeCell ref="A3:A6"/>
    <mergeCell ref="A7:A10"/>
    <mergeCell ref="A11:A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7623-86A1-4702-BBEA-BA82E12A9F02}">
  <dimension ref="A2:O162"/>
  <sheetViews>
    <sheetView zoomScaleNormal="100" workbookViewId="0"/>
  </sheetViews>
  <sheetFormatPr baseColWidth="10" defaultRowHeight="15" x14ac:dyDescent="0.25"/>
  <cols>
    <col min="1" max="1" width="19.140625" style="1" customWidth="1"/>
    <col min="2" max="6" width="20.42578125" style="1" customWidth="1"/>
    <col min="7" max="8" width="17.85546875" style="1" customWidth="1"/>
    <col min="9" max="10" width="20.28515625" style="1" customWidth="1"/>
    <col min="11" max="13" width="19" style="1" customWidth="1"/>
    <col min="14" max="16384" width="11.42578125" style="1"/>
  </cols>
  <sheetData>
    <row r="2" spans="1:15" ht="24" x14ac:dyDescent="0.25">
      <c r="G2" s="48"/>
      <c r="H2" s="48"/>
      <c r="I2" s="48"/>
      <c r="J2" s="48"/>
    </row>
    <row r="3" spans="1:15" ht="54.75" customHeight="1" x14ac:dyDescent="0.25">
      <c r="A3" s="7" t="s">
        <v>16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8</v>
      </c>
      <c r="G3" s="36" t="s">
        <v>9</v>
      </c>
      <c r="H3" s="36" t="s">
        <v>10</v>
      </c>
      <c r="I3" s="36" t="s">
        <v>12</v>
      </c>
      <c r="J3" s="36" t="s">
        <v>11</v>
      </c>
      <c r="K3" s="10"/>
      <c r="L3" s="10"/>
      <c r="M3" s="10"/>
    </row>
    <row r="4" spans="1:15" ht="18.75" customHeight="1" x14ac:dyDescent="0.25">
      <c r="A4" s="79" t="s">
        <v>17</v>
      </c>
      <c r="B4" s="2" t="s">
        <v>4</v>
      </c>
      <c r="C4" s="15">
        <v>2.9</v>
      </c>
      <c r="D4" s="14">
        <v>2.42</v>
      </c>
      <c r="E4" s="15">
        <v>0.11</v>
      </c>
      <c r="F4" s="15">
        <v>7.0000000000000007E-2</v>
      </c>
      <c r="G4" s="5"/>
      <c r="H4" s="5"/>
      <c r="I4" s="13"/>
      <c r="J4" s="23"/>
    </row>
    <row r="5" spans="1:15" ht="18.75" customHeight="1" x14ac:dyDescent="0.25">
      <c r="A5" s="80"/>
      <c r="B5" s="4" t="s">
        <v>5</v>
      </c>
      <c r="C5" s="16">
        <v>3.82</v>
      </c>
      <c r="D5" s="16">
        <v>3.26</v>
      </c>
      <c r="E5" s="17">
        <v>0.3</v>
      </c>
      <c r="F5" s="17">
        <v>0.26</v>
      </c>
      <c r="G5" s="5"/>
      <c r="H5" s="5"/>
      <c r="I5" s="13"/>
      <c r="J5" s="23"/>
    </row>
    <row r="6" spans="1:15" ht="18.75" customHeight="1" x14ac:dyDescent="0.25">
      <c r="A6" s="80"/>
      <c r="B6" s="4" t="s">
        <v>6</v>
      </c>
      <c r="C6" s="16">
        <v>2.84</v>
      </c>
      <c r="D6" s="16">
        <v>2.0299999999999998</v>
      </c>
      <c r="E6" s="17">
        <v>0.59</v>
      </c>
      <c r="F6" s="17">
        <v>0.67</v>
      </c>
      <c r="G6" s="5"/>
      <c r="H6" s="5"/>
      <c r="I6" s="13"/>
      <c r="J6" s="23"/>
    </row>
    <row r="7" spans="1:15" ht="18.75" customHeight="1" x14ac:dyDescent="0.25">
      <c r="A7" s="81"/>
      <c r="B7" s="6" t="s">
        <v>7</v>
      </c>
      <c r="C7" s="11">
        <v>3.14</v>
      </c>
      <c r="D7" s="11">
        <v>2.37</v>
      </c>
      <c r="E7" s="11">
        <f>SUM(E4:E6)</f>
        <v>1</v>
      </c>
      <c r="F7" s="11">
        <f>SUM(F4:F6)</f>
        <v>1</v>
      </c>
      <c r="G7" s="13"/>
      <c r="H7" s="13"/>
      <c r="I7" s="25"/>
      <c r="J7" s="25"/>
    </row>
    <row r="8" spans="1:15" ht="18.75" customHeight="1" x14ac:dyDescent="0.25">
      <c r="A8" s="79" t="s">
        <v>18</v>
      </c>
      <c r="B8" s="2" t="s">
        <v>4</v>
      </c>
      <c r="C8" s="14">
        <v>2.89</v>
      </c>
      <c r="D8" s="14">
        <v>2.29</v>
      </c>
      <c r="E8" s="15">
        <v>0.06</v>
      </c>
      <c r="F8" s="15">
        <v>0.01</v>
      </c>
      <c r="G8" s="5"/>
      <c r="H8" s="19"/>
      <c r="I8" s="19"/>
      <c r="J8" s="19"/>
      <c r="K8" s="5"/>
      <c r="L8" s="5"/>
      <c r="M8" s="5"/>
      <c r="N8" s="5"/>
      <c r="O8" s="5"/>
    </row>
    <row r="9" spans="1:15" ht="18.75" customHeight="1" x14ac:dyDescent="0.25">
      <c r="A9" s="80"/>
      <c r="B9" s="4" t="s">
        <v>5</v>
      </c>
      <c r="C9" s="16">
        <v>4.07</v>
      </c>
      <c r="D9" s="16">
        <v>3.43</v>
      </c>
      <c r="E9" s="17">
        <v>0.17</v>
      </c>
      <c r="F9" s="17">
        <v>0.04</v>
      </c>
      <c r="G9" s="5"/>
      <c r="H9" s="19"/>
      <c r="I9" s="19"/>
      <c r="J9" s="19"/>
      <c r="K9" s="5"/>
      <c r="L9" s="5"/>
      <c r="M9" s="5"/>
      <c r="N9" s="5"/>
      <c r="O9" s="5"/>
    </row>
    <row r="10" spans="1:15" ht="18.75" customHeight="1" x14ac:dyDescent="0.25">
      <c r="A10" s="80"/>
      <c r="B10" s="4" t="s">
        <v>6</v>
      </c>
      <c r="C10" s="16">
        <v>3.79</v>
      </c>
      <c r="D10" s="16">
        <v>3.15</v>
      </c>
      <c r="E10" s="17">
        <v>0.24</v>
      </c>
      <c r="F10" s="17">
        <v>0.08</v>
      </c>
      <c r="G10" s="5"/>
      <c r="H10" s="19"/>
      <c r="I10" s="19"/>
      <c r="J10" s="19"/>
      <c r="K10" s="5"/>
      <c r="L10" s="5"/>
      <c r="M10" s="5"/>
      <c r="N10" s="5"/>
      <c r="O10" s="5"/>
    </row>
    <row r="11" spans="1:15" ht="18.75" customHeight="1" x14ac:dyDescent="0.25">
      <c r="A11" s="81"/>
      <c r="B11" s="6" t="s">
        <v>7</v>
      </c>
      <c r="C11" s="11">
        <v>3.77</v>
      </c>
      <c r="D11" s="11">
        <v>3.13</v>
      </c>
      <c r="E11" s="11">
        <f>SUM(E8:E10)</f>
        <v>0.47</v>
      </c>
      <c r="F11" s="11">
        <f>SUM(F8:F10)</f>
        <v>0.13</v>
      </c>
      <c r="G11" s="19"/>
      <c r="H11" s="22"/>
      <c r="I11" s="22"/>
      <c r="J11" s="41"/>
      <c r="K11" s="5"/>
      <c r="L11" s="5"/>
      <c r="M11" s="5"/>
      <c r="N11" s="5"/>
      <c r="O11" s="5"/>
    </row>
    <row r="12" spans="1:15" ht="18.75" customHeight="1" x14ac:dyDescent="0.25">
      <c r="A12" s="79" t="s">
        <v>19</v>
      </c>
      <c r="B12" s="2" t="s">
        <v>4</v>
      </c>
      <c r="C12" s="14">
        <v>2.92</v>
      </c>
      <c r="D12" s="14">
        <v>2.4500000000000002</v>
      </c>
      <c r="E12" s="15">
        <v>0.05</v>
      </c>
      <c r="F12" s="15">
        <v>0.06</v>
      </c>
      <c r="G12" s="5"/>
      <c r="H12" s="19"/>
      <c r="I12" s="19"/>
      <c r="J12" s="19"/>
      <c r="K12" s="5"/>
      <c r="L12" s="5"/>
      <c r="M12" s="5"/>
      <c r="N12" s="5"/>
      <c r="O12" s="5"/>
    </row>
    <row r="13" spans="1:15" ht="18.75" customHeight="1" x14ac:dyDescent="0.25">
      <c r="A13" s="80"/>
      <c r="B13" s="4" t="s">
        <v>5</v>
      </c>
      <c r="C13" s="16">
        <v>3.49</v>
      </c>
      <c r="D13" s="16">
        <v>3.23</v>
      </c>
      <c r="E13" s="17">
        <v>0.13</v>
      </c>
      <c r="F13" s="17">
        <v>0.22</v>
      </c>
      <c r="G13" s="5"/>
      <c r="H13" s="19"/>
      <c r="I13" s="19"/>
      <c r="J13" s="19"/>
      <c r="K13" s="5"/>
      <c r="L13" s="5"/>
      <c r="M13" s="5"/>
      <c r="N13" s="5"/>
      <c r="O13" s="5"/>
    </row>
    <row r="14" spans="1:15" ht="18.75" customHeight="1" x14ac:dyDescent="0.25">
      <c r="A14" s="80"/>
      <c r="B14" s="4" t="s">
        <v>6</v>
      </c>
      <c r="C14" s="16">
        <v>2.2000000000000002</v>
      </c>
      <c r="D14" s="16">
        <v>1.88</v>
      </c>
      <c r="E14" s="17">
        <v>0.35</v>
      </c>
      <c r="F14" s="17">
        <v>0.59</v>
      </c>
      <c r="G14" s="5"/>
      <c r="H14" s="19"/>
      <c r="I14" s="19"/>
      <c r="J14" s="19"/>
      <c r="K14" s="5"/>
      <c r="L14" s="5"/>
      <c r="M14" s="5"/>
      <c r="N14" s="5"/>
      <c r="O14" s="5"/>
    </row>
    <row r="15" spans="1:15" ht="18.75" customHeight="1" x14ac:dyDescent="0.25">
      <c r="A15" s="81"/>
      <c r="B15" s="6" t="s">
        <v>7</v>
      </c>
      <c r="C15" s="11">
        <v>2.58</v>
      </c>
      <c r="D15" s="11">
        <v>2.2599999999999998</v>
      </c>
      <c r="E15" s="11">
        <f>SUM(E12:E14)</f>
        <v>0.53</v>
      </c>
      <c r="F15" s="11">
        <f>SUM(F12:F14)</f>
        <v>0.87</v>
      </c>
      <c r="G15" s="19"/>
      <c r="H15" s="22"/>
      <c r="I15" s="22"/>
      <c r="J15" s="41"/>
      <c r="K15" s="5"/>
      <c r="L15" s="5"/>
      <c r="M15" s="5"/>
      <c r="N15" s="5"/>
      <c r="O15" s="5"/>
    </row>
    <row r="16" spans="1:15" ht="18.75" customHeight="1" x14ac:dyDescent="0.25">
      <c r="A16" s="12" t="s">
        <v>18</v>
      </c>
      <c r="B16" s="12" t="s">
        <v>19</v>
      </c>
      <c r="K16" s="24"/>
      <c r="L16" s="24"/>
      <c r="M16" s="24"/>
      <c r="N16" s="24"/>
      <c r="O16" s="5"/>
    </row>
    <row r="18" spans="2:10" ht="21" x14ac:dyDescent="0.35">
      <c r="B18" s="8" t="s">
        <v>13</v>
      </c>
    </row>
    <row r="19" spans="2:10" ht="24" x14ac:dyDescent="0.25">
      <c r="B19" s="35">
        <f>C7-D7</f>
        <v>0.77</v>
      </c>
    </row>
    <row r="21" spans="2:10" s="9" customFormat="1" ht="25.5" customHeight="1" x14ac:dyDescent="0.35">
      <c r="D21" s="44"/>
      <c r="E21" s="45"/>
    </row>
    <row r="22" spans="2:10" s="9" customFormat="1" ht="25.5" customHeight="1" x14ac:dyDescent="0.35">
      <c r="D22" s="44"/>
      <c r="E22" s="46"/>
    </row>
    <row r="26" spans="2:10" ht="18.75" x14ac:dyDescent="0.3">
      <c r="B26" s="33"/>
      <c r="C26" s="32"/>
      <c r="D26" s="32"/>
      <c r="E26" s="32"/>
      <c r="F26" s="32"/>
      <c r="G26" s="32"/>
      <c r="H26" s="32"/>
      <c r="I26" s="32"/>
      <c r="J26" s="32"/>
    </row>
    <row r="27" spans="2:10" ht="15.75" x14ac:dyDescent="0.25">
      <c r="B27" s="10"/>
      <c r="C27" s="10"/>
      <c r="D27" s="10"/>
      <c r="E27" s="10"/>
      <c r="F27" s="10"/>
      <c r="G27" s="10"/>
      <c r="H27" s="10"/>
      <c r="I27" s="10"/>
      <c r="J27" s="32"/>
    </row>
    <row r="28" spans="2:10" ht="15.75" x14ac:dyDescent="0.25">
      <c r="B28" s="32"/>
      <c r="C28" s="32"/>
      <c r="D28" s="32"/>
      <c r="E28" s="32"/>
      <c r="F28" s="32"/>
      <c r="G28" s="32"/>
      <c r="H28" s="32"/>
      <c r="I28" s="32"/>
      <c r="J28" s="32"/>
    </row>
    <row r="29" spans="2:10" ht="15.75" x14ac:dyDescent="0.25">
      <c r="B29" s="32"/>
      <c r="C29" s="32"/>
      <c r="D29" s="32"/>
      <c r="E29" s="32"/>
      <c r="F29" s="32"/>
      <c r="G29" s="32"/>
      <c r="H29" s="32"/>
      <c r="I29" s="32"/>
      <c r="J29" s="32"/>
    </row>
    <row r="30" spans="2:10" ht="15.75" x14ac:dyDescent="0.25">
      <c r="B30" s="32"/>
      <c r="C30" s="32"/>
      <c r="D30" s="32"/>
      <c r="E30" s="32"/>
      <c r="F30" s="32"/>
      <c r="G30" s="32"/>
      <c r="H30" s="32"/>
      <c r="I30" s="32"/>
      <c r="J30" s="32"/>
    </row>
    <row r="31" spans="2:10" ht="18.75" x14ac:dyDescent="0.3">
      <c r="B31" s="33"/>
      <c r="C31" s="32"/>
      <c r="D31" s="32"/>
      <c r="E31" s="32"/>
      <c r="F31" s="32"/>
      <c r="G31" s="32"/>
      <c r="H31" s="32"/>
      <c r="I31" s="32"/>
      <c r="J31" s="32"/>
    </row>
    <row r="32" spans="2:10" ht="15.75" x14ac:dyDescent="0.25">
      <c r="B32" s="10"/>
      <c r="C32" s="10"/>
      <c r="D32" s="10"/>
      <c r="E32" s="10"/>
      <c r="F32" s="10"/>
      <c r="G32" s="10"/>
      <c r="H32" s="10"/>
      <c r="I32" s="10"/>
      <c r="J32" s="32"/>
    </row>
    <row r="33" spans="2:10" ht="15.75" x14ac:dyDescent="0.25">
      <c r="B33" s="32"/>
      <c r="C33" s="32"/>
      <c r="D33" s="32"/>
      <c r="E33" s="32"/>
      <c r="F33" s="32"/>
      <c r="G33" s="32"/>
      <c r="H33" s="32"/>
      <c r="I33" s="32"/>
      <c r="J33" s="32"/>
    </row>
    <row r="34" spans="2:10" ht="15.75" x14ac:dyDescent="0.25">
      <c r="B34" s="32"/>
      <c r="C34" s="32"/>
      <c r="D34" s="32"/>
      <c r="E34" s="32"/>
      <c r="F34" s="32"/>
      <c r="G34" s="32"/>
      <c r="H34" s="32"/>
      <c r="I34" s="32"/>
      <c r="J34" s="32"/>
    </row>
    <row r="35" spans="2:10" ht="15.75" x14ac:dyDescent="0.25">
      <c r="B35" s="32"/>
      <c r="C35" s="32"/>
      <c r="D35" s="32"/>
      <c r="E35" s="32"/>
      <c r="F35" s="32"/>
      <c r="G35" s="32"/>
      <c r="H35" s="32"/>
      <c r="I35" s="32"/>
      <c r="J35" s="32"/>
    </row>
    <row r="36" spans="2:10" ht="15.75" x14ac:dyDescent="0.25">
      <c r="B36" s="32"/>
      <c r="C36" s="32"/>
      <c r="D36" s="32"/>
      <c r="E36" s="32"/>
      <c r="F36" s="32"/>
      <c r="G36" s="32"/>
      <c r="H36" s="32"/>
      <c r="I36" s="32"/>
      <c r="J36" s="32"/>
    </row>
    <row r="37" spans="2:10" ht="15.75" x14ac:dyDescent="0.25">
      <c r="B37" s="32"/>
      <c r="C37" s="32"/>
      <c r="D37" s="32"/>
      <c r="E37" s="32"/>
      <c r="F37" s="32"/>
      <c r="G37" s="32"/>
      <c r="H37" s="32"/>
      <c r="I37" s="32"/>
      <c r="J37" s="32"/>
    </row>
    <row r="38" spans="2:10" ht="15.75" x14ac:dyDescent="0.25">
      <c r="B38" s="32"/>
      <c r="C38" s="32"/>
      <c r="D38" s="32"/>
      <c r="E38" s="32"/>
      <c r="F38" s="32"/>
      <c r="G38" s="32"/>
      <c r="H38" s="32"/>
      <c r="I38" s="32"/>
      <c r="J38" s="32"/>
    </row>
    <row r="39" spans="2:10" ht="15.75" x14ac:dyDescent="0.25">
      <c r="B39" s="32"/>
      <c r="C39" s="32"/>
      <c r="D39" s="32"/>
      <c r="E39" s="32"/>
      <c r="F39" s="32"/>
      <c r="G39" s="32"/>
      <c r="H39" s="32"/>
      <c r="I39" s="32"/>
      <c r="J39" s="32"/>
    </row>
    <row r="40" spans="2:10" ht="15.75" x14ac:dyDescent="0.25">
      <c r="B40" s="32"/>
      <c r="C40" s="32"/>
      <c r="D40" s="32"/>
      <c r="E40" s="32"/>
      <c r="F40" s="32"/>
      <c r="G40" s="32"/>
      <c r="H40" s="32"/>
      <c r="I40" s="32"/>
      <c r="J40" s="32"/>
    </row>
    <row r="41" spans="2:10" ht="15.75" x14ac:dyDescent="0.25">
      <c r="B41" s="32"/>
      <c r="C41" s="32"/>
      <c r="D41" s="32"/>
      <c r="E41" s="32"/>
      <c r="F41" s="32"/>
      <c r="G41" s="32"/>
      <c r="H41" s="32"/>
      <c r="I41" s="32"/>
      <c r="J41" s="32"/>
    </row>
    <row r="42" spans="2:10" ht="15.75" x14ac:dyDescent="0.25">
      <c r="B42" s="32"/>
      <c r="C42" s="32"/>
      <c r="D42" s="32"/>
      <c r="E42" s="32"/>
      <c r="F42" s="32"/>
      <c r="G42" s="32"/>
      <c r="H42" s="32"/>
      <c r="I42" s="32"/>
      <c r="J42" s="32"/>
    </row>
    <row r="43" spans="2:10" ht="15.75" x14ac:dyDescent="0.25">
      <c r="B43" s="32"/>
      <c r="C43" s="32"/>
      <c r="D43" s="32"/>
      <c r="E43" s="32"/>
      <c r="F43" s="32"/>
      <c r="G43" s="32"/>
      <c r="H43" s="32"/>
      <c r="I43" s="32"/>
      <c r="J43" s="32"/>
    </row>
    <row r="44" spans="2:10" ht="15.75" x14ac:dyDescent="0.25">
      <c r="B44" s="32"/>
      <c r="C44" s="32"/>
      <c r="D44" s="32"/>
      <c r="E44" s="32"/>
      <c r="F44" s="32"/>
      <c r="G44" s="32"/>
      <c r="H44" s="32"/>
      <c r="I44" s="32"/>
      <c r="J44" s="32"/>
    </row>
    <row r="45" spans="2:10" ht="15.75" x14ac:dyDescent="0.25">
      <c r="B45" s="32"/>
      <c r="C45" s="32"/>
      <c r="D45" s="32"/>
      <c r="E45" s="32"/>
      <c r="F45" s="32"/>
      <c r="G45" s="32"/>
      <c r="H45" s="32"/>
      <c r="I45" s="32"/>
      <c r="J45" s="32"/>
    </row>
    <row r="46" spans="2:10" ht="15.75" x14ac:dyDescent="0.25">
      <c r="B46" s="32"/>
      <c r="C46" s="32"/>
      <c r="D46" s="32"/>
      <c r="E46" s="32"/>
      <c r="F46" s="32"/>
      <c r="G46" s="32"/>
      <c r="H46" s="32"/>
      <c r="I46" s="32"/>
      <c r="J46" s="32"/>
    </row>
    <row r="47" spans="2:10" ht="15.75" x14ac:dyDescent="0.25">
      <c r="B47" s="32"/>
      <c r="C47" s="32"/>
      <c r="D47" s="32"/>
      <c r="E47" s="32"/>
      <c r="F47" s="32"/>
      <c r="G47" s="32"/>
      <c r="H47" s="32"/>
      <c r="I47" s="32"/>
      <c r="J47" s="32"/>
    </row>
    <row r="48" spans="2:10" ht="15.75" x14ac:dyDescent="0.25">
      <c r="B48" s="32"/>
      <c r="C48" s="32"/>
      <c r="D48" s="32"/>
      <c r="E48" s="32"/>
      <c r="F48" s="32"/>
      <c r="G48" s="32"/>
      <c r="H48" s="32"/>
      <c r="I48" s="32"/>
      <c r="J48" s="32"/>
    </row>
    <row r="49" spans="2:10" ht="15.75" x14ac:dyDescent="0.25">
      <c r="B49" s="32"/>
      <c r="C49" s="32"/>
      <c r="D49" s="32"/>
      <c r="E49" s="32"/>
      <c r="F49" s="32"/>
      <c r="G49" s="32"/>
      <c r="H49" s="32"/>
      <c r="I49" s="32"/>
      <c r="J49" s="32"/>
    </row>
    <row r="50" spans="2:10" ht="15.75" x14ac:dyDescent="0.25">
      <c r="B50" s="32"/>
      <c r="C50" s="32"/>
      <c r="D50" s="32"/>
      <c r="E50" s="32"/>
      <c r="F50" s="32"/>
      <c r="G50" s="32"/>
      <c r="H50" s="32"/>
      <c r="I50" s="32"/>
      <c r="J50" s="32"/>
    </row>
    <row r="51" spans="2:10" ht="15.75" x14ac:dyDescent="0.25">
      <c r="B51" s="32"/>
      <c r="C51" s="32"/>
      <c r="D51" s="32"/>
      <c r="E51" s="32"/>
      <c r="F51" s="32"/>
      <c r="G51" s="32"/>
      <c r="H51" s="32"/>
      <c r="I51" s="32"/>
      <c r="J51" s="32"/>
    </row>
    <row r="52" spans="2:10" x14ac:dyDescent="0.25">
      <c r="B52" s="31"/>
      <c r="C52" s="31"/>
      <c r="D52" s="31"/>
      <c r="E52" s="31"/>
      <c r="F52" s="31"/>
      <c r="G52" s="31"/>
      <c r="H52" s="31"/>
      <c r="I52" s="31"/>
      <c r="J52" s="31"/>
    </row>
    <row r="53" spans="2:10" x14ac:dyDescent="0.25">
      <c r="B53" s="31"/>
      <c r="C53" s="31"/>
      <c r="D53" s="31"/>
      <c r="E53" s="31"/>
      <c r="F53" s="31"/>
      <c r="G53" s="31"/>
      <c r="H53" s="31"/>
      <c r="I53" s="31"/>
      <c r="J53" s="31"/>
    </row>
    <row r="54" spans="2:10" x14ac:dyDescent="0.25">
      <c r="B54" s="31"/>
      <c r="C54" s="31"/>
      <c r="D54" s="31"/>
      <c r="E54" s="31"/>
      <c r="F54" s="31"/>
      <c r="G54" s="31"/>
      <c r="H54" s="31"/>
      <c r="I54" s="31"/>
      <c r="J54" s="31"/>
    </row>
    <row r="55" spans="2:10" x14ac:dyDescent="0.25">
      <c r="B55" s="31"/>
      <c r="C55" s="31"/>
      <c r="D55" s="31"/>
      <c r="E55" s="31"/>
      <c r="F55" s="31"/>
      <c r="G55" s="31"/>
      <c r="H55" s="31"/>
      <c r="I55" s="31"/>
      <c r="J55" s="31"/>
    </row>
    <row r="56" spans="2:10" x14ac:dyDescent="0.25">
      <c r="B56" s="31"/>
      <c r="C56" s="31"/>
      <c r="D56" s="31"/>
      <c r="E56" s="31"/>
      <c r="F56" s="31"/>
      <c r="G56" s="31"/>
      <c r="H56" s="31"/>
      <c r="I56" s="31"/>
      <c r="J56" s="31"/>
    </row>
    <row r="57" spans="2:10" x14ac:dyDescent="0.25">
      <c r="B57" s="31"/>
      <c r="C57" s="31"/>
      <c r="D57" s="31"/>
      <c r="E57" s="31"/>
      <c r="F57" s="31"/>
      <c r="G57" s="31"/>
      <c r="H57" s="31"/>
      <c r="I57" s="31"/>
      <c r="J57" s="31"/>
    </row>
    <row r="58" spans="2:10" x14ac:dyDescent="0.25">
      <c r="B58" s="31"/>
      <c r="C58" s="31"/>
      <c r="D58" s="31"/>
      <c r="E58" s="31"/>
      <c r="F58" s="31"/>
      <c r="G58" s="31"/>
      <c r="H58" s="31"/>
      <c r="I58" s="31"/>
      <c r="J58" s="31"/>
    </row>
    <row r="59" spans="2:10" x14ac:dyDescent="0.25">
      <c r="B59" s="31"/>
      <c r="C59" s="31"/>
      <c r="D59" s="31"/>
      <c r="E59" s="31"/>
      <c r="F59" s="31"/>
      <c r="G59" s="31"/>
      <c r="H59" s="31"/>
      <c r="I59" s="31"/>
      <c r="J59" s="31"/>
    </row>
    <row r="60" spans="2:10" x14ac:dyDescent="0.25">
      <c r="B60" s="31"/>
      <c r="C60" s="31"/>
      <c r="D60" s="31"/>
      <c r="E60" s="31"/>
      <c r="F60" s="31"/>
      <c r="G60" s="31"/>
      <c r="H60" s="31"/>
      <c r="I60" s="31"/>
      <c r="J60" s="31"/>
    </row>
    <row r="61" spans="2:10" x14ac:dyDescent="0.25">
      <c r="B61" s="31"/>
      <c r="C61" s="31"/>
      <c r="D61" s="31"/>
      <c r="E61" s="31"/>
      <c r="F61" s="31"/>
      <c r="G61" s="31"/>
      <c r="H61" s="31"/>
      <c r="I61" s="31"/>
      <c r="J61" s="31"/>
    </row>
    <row r="62" spans="2:10" x14ac:dyDescent="0.25">
      <c r="B62" s="31"/>
      <c r="C62" s="31"/>
      <c r="D62" s="31"/>
      <c r="E62" s="31"/>
      <c r="F62" s="31"/>
      <c r="G62" s="31"/>
      <c r="H62" s="31"/>
      <c r="I62" s="31"/>
      <c r="J62" s="31"/>
    </row>
    <row r="63" spans="2:10" x14ac:dyDescent="0.25">
      <c r="B63" s="31"/>
      <c r="C63" s="31"/>
      <c r="D63" s="31"/>
      <c r="E63" s="31"/>
      <c r="F63" s="31"/>
      <c r="G63" s="31"/>
      <c r="H63" s="31"/>
      <c r="I63" s="31"/>
      <c r="J63" s="31"/>
    </row>
    <row r="64" spans="2:10" x14ac:dyDescent="0.25">
      <c r="B64" s="31"/>
      <c r="C64" s="31"/>
      <c r="D64" s="31"/>
      <c r="E64" s="31"/>
      <c r="F64" s="31"/>
      <c r="G64" s="31"/>
      <c r="H64" s="31"/>
      <c r="I64" s="31"/>
      <c r="J64" s="31"/>
    </row>
    <row r="65" spans="2:10" x14ac:dyDescent="0.25">
      <c r="B65" s="31"/>
      <c r="C65" s="31"/>
      <c r="D65" s="31"/>
      <c r="E65" s="31"/>
      <c r="F65" s="31"/>
      <c r="G65" s="31"/>
      <c r="H65" s="31"/>
      <c r="I65" s="31"/>
      <c r="J65" s="31"/>
    </row>
    <row r="66" spans="2:10" x14ac:dyDescent="0.25">
      <c r="B66" s="31"/>
      <c r="C66" s="31"/>
      <c r="D66" s="31"/>
      <c r="E66" s="31"/>
      <c r="F66" s="31"/>
      <c r="G66" s="31"/>
      <c r="H66" s="31"/>
      <c r="I66" s="31"/>
      <c r="J66" s="31"/>
    </row>
    <row r="67" spans="2:10" x14ac:dyDescent="0.25">
      <c r="B67" s="31"/>
      <c r="C67" s="31"/>
      <c r="D67" s="31"/>
      <c r="E67" s="31"/>
      <c r="F67" s="31"/>
      <c r="G67" s="31"/>
      <c r="H67" s="31"/>
      <c r="I67" s="31"/>
      <c r="J67" s="31"/>
    </row>
    <row r="68" spans="2:10" x14ac:dyDescent="0.25">
      <c r="B68" s="31"/>
      <c r="C68" s="31"/>
      <c r="D68" s="31"/>
      <c r="E68" s="31"/>
      <c r="F68" s="31"/>
      <c r="G68" s="31"/>
      <c r="H68" s="31"/>
      <c r="I68" s="31"/>
      <c r="J68" s="31"/>
    </row>
    <row r="69" spans="2:10" x14ac:dyDescent="0.25">
      <c r="B69" s="31"/>
      <c r="C69" s="31"/>
      <c r="D69" s="31"/>
      <c r="E69" s="31"/>
      <c r="F69" s="31"/>
      <c r="G69" s="31"/>
      <c r="H69" s="31"/>
      <c r="I69" s="31"/>
      <c r="J69" s="31"/>
    </row>
    <row r="70" spans="2:10" x14ac:dyDescent="0.25">
      <c r="B70" s="31"/>
      <c r="C70" s="31"/>
      <c r="D70" s="31"/>
      <c r="E70" s="31"/>
      <c r="F70" s="31"/>
      <c r="G70" s="31"/>
      <c r="H70" s="31"/>
      <c r="I70" s="31"/>
      <c r="J70" s="31"/>
    </row>
    <row r="71" spans="2:10" x14ac:dyDescent="0.25">
      <c r="B71" s="31"/>
      <c r="C71" s="31"/>
      <c r="D71" s="31"/>
      <c r="E71" s="31"/>
      <c r="F71" s="31"/>
      <c r="G71" s="31"/>
      <c r="H71" s="31"/>
      <c r="I71" s="31"/>
      <c r="J71" s="31"/>
    </row>
    <row r="72" spans="2:10" x14ac:dyDescent="0.25">
      <c r="B72" s="31"/>
      <c r="C72" s="31"/>
      <c r="D72" s="31"/>
      <c r="E72" s="31"/>
      <c r="F72" s="31"/>
      <c r="G72" s="31"/>
      <c r="H72" s="31"/>
      <c r="I72" s="31"/>
      <c r="J72" s="31"/>
    </row>
    <row r="73" spans="2:10" x14ac:dyDescent="0.25">
      <c r="B73" s="31"/>
      <c r="C73" s="31"/>
      <c r="D73" s="31"/>
      <c r="E73" s="31"/>
      <c r="F73" s="31"/>
      <c r="G73" s="31"/>
      <c r="H73" s="31"/>
      <c r="I73" s="31"/>
      <c r="J73" s="31"/>
    </row>
    <row r="74" spans="2:10" x14ac:dyDescent="0.25">
      <c r="B74" s="31"/>
      <c r="C74" s="31"/>
      <c r="D74" s="31"/>
      <c r="E74" s="31"/>
      <c r="F74" s="31"/>
      <c r="G74" s="31"/>
      <c r="H74" s="31"/>
      <c r="I74" s="31"/>
      <c r="J74" s="31"/>
    </row>
    <row r="75" spans="2:10" x14ac:dyDescent="0.25">
      <c r="B75" s="31"/>
      <c r="C75" s="31"/>
      <c r="D75" s="31"/>
      <c r="E75" s="31"/>
      <c r="F75" s="31"/>
      <c r="G75" s="31"/>
      <c r="H75" s="31"/>
      <c r="I75" s="31"/>
      <c r="J75" s="31"/>
    </row>
    <row r="76" spans="2:10" x14ac:dyDescent="0.25">
      <c r="B76" s="31"/>
      <c r="C76" s="31"/>
      <c r="D76" s="31"/>
      <c r="E76" s="31"/>
      <c r="F76" s="31"/>
      <c r="G76" s="31"/>
      <c r="H76" s="31"/>
      <c r="I76" s="31"/>
      <c r="J76" s="31"/>
    </row>
    <row r="77" spans="2:10" x14ac:dyDescent="0.25">
      <c r="B77" s="31"/>
      <c r="C77" s="31"/>
      <c r="D77" s="31"/>
      <c r="E77" s="31"/>
      <c r="F77" s="31"/>
      <c r="G77" s="31"/>
      <c r="H77" s="31"/>
      <c r="I77" s="31"/>
      <c r="J77" s="31"/>
    </row>
    <row r="78" spans="2:10" x14ac:dyDescent="0.25">
      <c r="B78" s="31"/>
      <c r="C78" s="31"/>
      <c r="D78" s="31"/>
      <c r="E78" s="31"/>
      <c r="F78" s="31"/>
      <c r="G78" s="31"/>
      <c r="H78" s="31"/>
      <c r="I78" s="31"/>
      <c r="J78" s="31"/>
    </row>
    <row r="79" spans="2:10" x14ac:dyDescent="0.25">
      <c r="B79" s="31"/>
      <c r="C79" s="31"/>
      <c r="D79" s="31"/>
      <c r="E79" s="31"/>
      <c r="F79" s="31"/>
      <c r="G79" s="31"/>
      <c r="H79" s="31"/>
      <c r="I79" s="31"/>
      <c r="J79" s="31"/>
    </row>
    <row r="80" spans="2:10" x14ac:dyDescent="0.25">
      <c r="B80" s="31"/>
      <c r="C80" s="31"/>
      <c r="D80" s="31"/>
      <c r="E80" s="31"/>
      <c r="F80" s="31"/>
      <c r="G80" s="31"/>
      <c r="H80" s="31"/>
      <c r="I80" s="31"/>
      <c r="J80" s="31"/>
    </row>
    <row r="81" spans="2:10" x14ac:dyDescent="0.25">
      <c r="B81" s="31"/>
      <c r="C81" s="31"/>
      <c r="D81" s="31"/>
      <c r="E81" s="31"/>
      <c r="F81" s="31"/>
      <c r="G81" s="31"/>
      <c r="H81" s="31"/>
      <c r="I81" s="31"/>
      <c r="J81" s="31"/>
    </row>
    <row r="82" spans="2:10" x14ac:dyDescent="0.25">
      <c r="B82" s="31"/>
      <c r="C82" s="31"/>
      <c r="D82" s="31"/>
      <c r="E82" s="31"/>
      <c r="F82" s="31"/>
      <c r="G82" s="31"/>
      <c r="H82" s="31"/>
      <c r="I82" s="31"/>
      <c r="J82" s="31"/>
    </row>
    <row r="83" spans="2:10" x14ac:dyDescent="0.25">
      <c r="B83" s="31"/>
      <c r="C83" s="31"/>
      <c r="D83" s="31"/>
      <c r="E83" s="31"/>
      <c r="F83" s="31"/>
      <c r="G83" s="31"/>
      <c r="H83" s="31"/>
      <c r="I83" s="31"/>
      <c r="J83" s="31"/>
    </row>
    <row r="84" spans="2:10" x14ac:dyDescent="0.25">
      <c r="B84" s="31"/>
      <c r="C84" s="31"/>
      <c r="D84" s="31"/>
      <c r="E84" s="31"/>
      <c r="F84" s="31"/>
      <c r="G84" s="31"/>
      <c r="H84" s="31"/>
      <c r="I84" s="31"/>
      <c r="J84" s="31"/>
    </row>
    <row r="85" spans="2:10" x14ac:dyDescent="0.25">
      <c r="B85" s="31"/>
      <c r="C85" s="31"/>
      <c r="D85" s="31"/>
      <c r="E85" s="31"/>
      <c r="F85" s="31"/>
      <c r="G85" s="31"/>
      <c r="H85" s="31"/>
      <c r="I85" s="31"/>
      <c r="J85" s="31"/>
    </row>
    <row r="86" spans="2:10" x14ac:dyDescent="0.25">
      <c r="B86" s="31"/>
      <c r="C86" s="31"/>
      <c r="D86" s="31"/>
      <c r="E86" s="31"/>
      <c r="F86" s="31"/>
      <c r="G86" s="31"/>
      <c r="H86" s="31"/>
      <c r="I86" s="31"/>
      <c r="J86" s="31"/>
    </row>
    <row r="87" spans="2:10" x14ac:dyDescent="0.25">
      <c r="B87" s="31"/>
      <c r="C87" s="31"/>
      <c r="D87" s="31"/>
      <c r="E87" s="31"/>
      <c r="F87" s="31"/>
      <c r="G87" s="31"/>
      <c r="H87" s="31"/>
      <c r="I87" s="31"/>
      <c r="J87" s="31"/>
    </row>
    <row r="88" spans="2:10" x14ac:dyDescent="0.25">
      <c r="B88" s="31"/>
      <c r="C88" s="31"/>
      <c r="D88" s="31"/>
      <c r="E88" s="31"/>
      <c r="F88" s="31"/>
      <c r="G88" s="31"/>
      <c r="H88" s="31"/>
      <c r="I88" s="31"/>
      <c r="J88" s="31"/>
    </row>
    <row r="89" spans="2:10" x14ac:dyDescent="0.25">
      <c r="B89" s="31"/>
      <c r="C89" s="31"/>
      <c r="D89" s="31"/>
      <c r="E89" s="31"/>
      <c r="F89" s="31"/>
      <c r="G89" s="31"/>
      <c r="H89" s="31"/>
      <c r="I89" s="31"/>
      <c r="J89" s="31"/>
    </row>
    <row r="90" spans="2:10" x14ac:dyDescent="0.25">
      <c r="B90" s="31"/>
      <c r="C90" s="31"/>
      <c r="D90" s="31"/>
      <c r="E90" s="31"/>
      <c r="F90" s="31"/>
      <c r="G90" s="31"/>
      <c r="H90" s="31"/>
      <c r="I90" s="31"/>
      <c r="J90" s="31"/>
    </row>
    <row r="91" spans="2:10" x14ac:dyDescent="0.25">
      <c r="B91" s="31"/>
      <c r="C91" s="31"/>
      <c r="D91" s="31"/>
      <c r="E91" s="31"/>
      <c r="F91" s="31"/>
      <c r="G91" s="31"/>
      <c r="H91" s="31"/>
      <c r="I91" s="31"/>
      <c r="J91" s="31"/>
    </row>
    <row r="92" spans="2:10" x14ac:dyDescent="0.25">
      <c r="B92" s="31"/>
      <c r="C92" s="31"/>
      <c r="D92" s="31"/>
      <c r="E92" s="31"/>
      <c r="F92" s="31"/>
      <c r="G92" s="31"/>
      <c r="H92" s="31"/>
      <c r="I92" s="31"/>
      <c r="J92" s="31"/>
    </row>
    <row r="93" spans="2:10" x14ac:dyDescent="0.25">
      <c r="B93" s="31"/>
      <c r="C93" s="31"/>
      <c r="D93" s="31"/>
      <c r="E93" s="31"/>
      <c r="F93" s="31"/>
      <c r="G93" s="31"/>
      <c r="H93" s="31"/>
      <c r="I93" s="31"/>
      <c r="J93" s="31"/>
    </row>
    <row r="94" spans="2:10" x14ac:dyDescent="0.25">
      <c r="B94" s="31"/>
      <c r="C94" s="31"/>
      <c r="D94" s="31"/>
      <c r="E94" s="31"/>
      <c r="F94" s="31"/>
      <c r="G94" s="31"/>
      <c r="H94" s="31"/>
      <c r="I94" s="31"/>
      <c r="J94" s="31"/>
    </row>
    <row r="95" spans="2:10" x14ac:dyDescent="0.25">
      <c r="B95" s="31"/>
      <c r="C95" s="31"/>
      <c r="D95" s="31"/>
      <c r="E95" s="31"/>
      <c r="F95" s="31"/>
      <c r="G95" s="31"/>
      <c r="H95" s="31"/>
      <c r="I95" s="31"/>
      <c r="J95" s="31"/>
    </row>
    <row r="96" spans="2:10" x14ac:dyDescent="0.25">
      <c r="B96" s="31"/>
      <c r="C96" s="31"/>
      <c r="D96" s="31"/>
      <c r="E96" s="31"/>
      <c r="F96" s="31"/>
      <c r="G96" s="31"/>
      <c r="H96" s="31"/>
      <c r="I96" s="31"/>
      <c r="J96" s="31"/>
    </row>
    <row r="97" spans="2:10" x14ac:dyDescent="0.25">
      <c r="B97" s="31"/>
      <c r="C97" s="31"/>
      <c r="D97" s="31"/>
      <c r="E97" s="31"/>
      <c r="F97" s="31"/>
      <c r="G97" s="31"/>
      <c r="H97" s="31"/>
      <c r="I97" s="31"/>
      <c r="J97" s="31"/>
    </row>
    <row r="98" spans="2:10" x14ac:dyDescent="0.25">
      <c r="B98" s="31"/>
      <c r="C98" s="31"/>
      <c r="D98" s="31"/>
      <c r="E98" s="31"/>
      <c r="F98" s="31"/>
      <c r="G98" s="31"/>
      <c r="H98" s="31"/>
      <c r="I98" s="31"/>
      <c r="J98" s="31"/>
    </row>
    <row r="99" spans="2:10" x14ac:dyDescent="0.25">
      <c r="B99" s="31"/>
      <c r="C99" s="31"/>
      <c r="D99" s="31"/>
      <c r="E99" s="31"/>
      <c r="F99" s="31"/>
      <c r="G99" s="31"/>
      <c r="H99" s="31"/>
      <c r="I99" s="31"/>
      <c r="J99" s="31"/>
    </row>
    <row r="100" spans="2:10" x14ac:dyDescent="0.25">
      <c r="B100" s="31"/>
      <c r="C100" s="31"/>
      <c r="D100" s="31"/>
      <c r="E100" s="31"/>
      <c r="F100" s="31"/>
      <c r="G100" s="31"/>
      <c r="H100" s="31"/>
      <c r="I100" s="31"/>
      <c r="J100" s="31"/>
    </row>
    <row r="101" spans="2:10" x14ac:dyDescent="0.25">
      <c r="B101" s="31"/>
      <c r="C101" s="31"/>
      <c r="D101" s="31"/>
      <c r="E101" s="31"/>
      <c r="F101" s="31"/>
      <c r="G101" s="31"/>
      <c r="H101" s="31"/>
      <c r="I101" s="31"/>
      <c r="J101" s="31"/>
    </row>
    <row r="102" spans="2:10" x14ac:dyDescent="0.25">
      <c r="B102" s="31"/>
      <c r="C102" s="31"/>
      <c r="D102" s="31"/>
      <c r="E102" s="31"/>
      <c r="F102" s="31"/>
      <c r="G102" s="31"/>
      <c r="H102" s="31"/>
      <c r="I102" s="31"/>
      <c r="J102" s="31"/>
    </row>
    <row r="103" spans="2:10" x14ac:dyDescent="0.25">
      <c r="B103" s="31"/>
      <c r="C103" s="31"/>
      <c r="D103" s="31"/>
      <c r="E103" s="31"/>
      <c r="F103" s="31"/>
      <c r="G103" s="31"/>
      <c r="H103" s="31"/>
      <c r="I103" s="31"/>
      <c r="J103" s="31"/>
    </row>
    <row r="104" spans="2:10" x14ac:dyDescent="0.25">
      <c r="B104" s="31"/>
      <c r="C104" s="31"/>
      <c r="D104" s="31"/>
      <c r="E104" s="31"/>
      <c r="F104" s="31"/>
      <c r="G104" s="31"/>
      <c r="H104" s="31"/>
      <c r="I104" s="31"/>
      <c r="J104" s="31"/>
    </row>
    <row r="105" spans="2:10" x14ac:dyDescent="0.25">
      <c r="B105" s="31"/>
      <c r="C105" s="31"/>
      <c r="D105" s="31"/>
      <c r="E105" s="31"/>
      <c r="F105" s="31"/>
      <c r="G105" s="31"/>
      <c r="H105" s="31"/>
      <c r="I105" s="31"/>
      <c r="J105" s="31"/>
    </row>
    <row r="106" spans="2:10" x14ac:dyDescent="0.25">
      <c r="B106" s="31"/>
      <c r="C106" s="31"/>
      <c r="D106" s="31"/>
      <c r="E106" s="31"/>
      <c r="F106" s="31"/>
      <c r="G106" s="31"/>
      <c r="H106" s="31"/>
      <c r="I106" s="31"/>
      <c r="J106" s="31"/>
    </row>
    <row r="107" spans="2:10" x14ac:dyDescent="0.25">
      <c r="B107" s="31"/>
      <c r="C107" s="31"/>
      <c r="D107" s="31"/>
      <c r="E107" s="31"/>
      <c r="F107" s="31"/>
      <c r="G107" s="31"/>
      <c r="H107" s="31"/>
      <c r="I107" s="31"/>
      <c r="J107" s="31"/>
    </row>
    <row r="108" spans="2:10" x14ac:dyDescent="0.25">
      <c r="B108" s="31"/>
      <c r="C108" s="31"/>
      <c r="D108" s="31"/>
      <c r="E108" s="31"/>
      <c r="F108" s="31"/>
      <c r="G108" s="31"/>
      <c r="H108" s="31"/>
      <c r="I108" s="31"/>
      <c r="J108" s="31"/>
    </row>
    <row r="109" spans="2:10" x14ac:dyDescent="0.25">
      <c r="B109" s="31"/>
      <c r="C109" s="31"/>
      <c r="D109" s="31"/>
      <c r="E109" s="31"/>
      <c r="F109" s="31"/>
      <c r="G109" s="31"/>
      <c r="H109" s="31"/>
      <c r="I109" s="31"/>
      <c r="J109" s="31"/>
    </row>
    <row r="110" spans="2:10" x14ac:dyDescent="0.25">
      <c r="B110" s="31"/>
      <c r="C110" s="31"/>
      <c r="D110" s="31"/>
      <c r="E110" s="31"/>
      <c r="F110" s="31"/>
      <c r="G110" s="31"/>
      <c r="H110" s="31"/>
      <c r="I110" s="31"/>
      <c r="J110" s="31"/>
    </row>
    <row r="111" spans="2:10" x14ac:dyDescent="0.25">
      <c r="B111" s="31"/>
      <c r="C111" s="31"/>
      <c r="D111" s="31"/>
      <c r="E111" s="31"/>
      <c r="F111" s="31"/>
      <c r="G111" s="31"/>
      <c r="H111" s="31"/>
      <c r="I111" s="31"/>
      <c r="J111" s="31"/>
    </row>
    <row r="112" spans="2:10" x14ac:dyDescent="0.25">
      <c r="B112" s="31"/>
      <c r="C112" s="31"/>
      <c r="D112" s="31"/>
      <c r="E112" s="31"/>
      <c r="F112" s="31"/>
      <c r="G112" s="31"/>
      <c r="H112" s="31"/>
      <c r="I112" s="31"/>
      <c r="J112" s="31"/>
    </row>
    <row r="113" spans="2:10" x14ac:dyDescent="0.25">
      <c r="B113" s="31"/>
      <c r="C113" s="31"/>
      <c r="D113" s="31"/>
      <c r="E113" s="31"/>
      <c r="F113" s="31"/>
      <c r="G113" s="31"/>
      <c r="H113" s="31"/>
      <c r="I113" s="31"/>
      <c r="J113" s="31"/>
    </row>
    <row r="114" spans="2:10" x14ac:dyDescent="0.25">
      <c r="B114" s="31"/>
      <c r="C114" s="31"/>
      <c r="D114" s="31"/>
      <c r="E114" s="31"/>
      <c r="F114" s="31"/>
      <c r="G114" s="31"/>
      <c r="H114" s="31"/>
      <c r="I114" s="31"/>
      <c r="J114" s="31"/>
    </row>
    <row r="115" spans="2:10" x14ac:dyDescent="0.25">
      <c r="B115" s="31"/>
      <c r="C115" s="31"/>
      <c r="D115" s="31"/>
      <c r="E115" s="31"/>
      <c r="F115" s="31"/>
      <c r="G115" s="31"/>
      <c r="H115" s="31"/>
      <c r="I115" s="31"/>
      <c r="J115" s="31"/>
    </row>
    <row r="116" spans="2:10" x14ac:dyDescent="0.25">
      <c r="B116" s="31"/>
      <c r="C116" s="31"/>
      <c r="D116" s="31"/>
      <c r="E116" s="31"/>
      <c r="F116" s="31"/>
      <c r="G116" s="31"/>
      <c r="H116" s="31"/>
      <c r="I116" s="31"/>
      <c r="J116" s="31"/>
    </row>
    <row r="117" spans="2:10" x14ac:dyDescent="0.25">
      <c r="B117" s="31"/>
      <c r="C117" s="31"/>
      <c r="D117" s="31"/>
      <c r="E117" s="31"/>
      <c r="F117" s="31"/>
      <c r="G117" s="31"/>
      <c r="H117" s="31"/>
      <c r="I117" s="31"/>
      <c r="J117" s="31"/>
    </row>
    <row r="118" spans="2:10" x14ac:dyDescent="0.25">
      <c r="B118" s="31"/>
      <c r="C118" s="31"/>
      <c r="D118" s="31"/>
      <c r="E118" s="31"/>
      <c r="F118" s="31"/>
      <c r="G118" s="31"/>
      <c r="H118" s="31"/>
      <c r="I118" s="31"/>
      <c r="J118" s="31"/>
    </row>
    <row r="119" spans="2:10" x14ac:dyDescent="0.25">
      <c r="B119" s="31"/>
      <c r="C119" s="31"/>
      <c r="D119" s="31"/>
      <c r="E119" s="31"/>
      <c r="F119" s="31"/>
      <c r="G119" s="31"/>
      <c r="H119" s="31"/>
      <c r="I119" s="31"/>
      <c r="J119" s="31"/>
    </row>
    <row r="120" spans="2:10" x14ac:dyDescent="0.25">
      <c r="B120" s="31"/>
      <c r="C120" s="31"/>
      <c r="D120" s="31"/>
      <c r="E120" s="31"/>
      <c r="F120" s="31"/>
      <c r="G120" s="31"/>
      <c r="H120" s="31"/>
      <c r="I120" s="31"/>
      <c r="J120" s="31"/>
    </row>
    <row r="121" spans="2:10" x14ac:dyDescent="0.25">
      <c r="B121" s="31"/>
      <c r="C121" s="31"/>
      <c r="D121" s="31"/>
      <c r="E121" s="31"/>
      <c r="F121" s="31"/>
      <c r="G121" s="31"/>
      <c r="H121" s="31"/>
      <c r="I121" s="31"/>
      <c r="J121" s="31"/>
    </row>
    <row r="122" spans="2:10" x14ac:dyDescent="0.25">
      <c r="B122" s="31"/>
      <c r="C122" s="31"/>
      <c r="D122" s="31"/>
      <c r="E122" s="31"/>
      <c r="F122" s="31"/>
      <c r="G122" s="31"/>
      <c r="H122" s="31"/>
      <c r="I122" s="31"/>
      <c r="J122" s="31"/>
    </row>
    <row r="123" spans="2:10" x14ac:dyDescent="0.25">
      <c r="B123" s="31"/>
      <c r="C123" s="31"/>
      <c r="D123" s="31"/>
      <c r="E123" s="31"/>
      <c r="F123" s="31"/>
      <c r="G123" s="31"/>
      <c r="H123" s="31"/>
      <c r="I123" s="31"/>
      <c r="J123" s="31"/>
    </row>
    <row r="124" spans="2:10" x14ac:dyDescent="0.25">
      <c r="B124" s="31"/>
      <c r="C124" s="31"/>
      <c r="D124" s="31"/>
      <c r="E124" s="31"/>
      <c r="F124" s="31"/>
      <c r="G124" s="31"/>
      <c r="H124" s="31"/>
      <c r="I124" s="31"/>
      <c r="J124" s="31"/>
    </row>
    <row r="125" spans="2:10" x14ac:dyDescent="0.25">
      <c r="B125" s="31"/>
      <c r="C125" s="31"/>
      <c r="D125" s="31"/>
      <c r="E125" s="31"/>
      <c r="F125" s="31"/>
      <c r="G125" s="31"/>
      <c r="H125" s="31"/>
      <c r="I125" s="31"/>
      <c r="J125" s="31"/>
    </row>
    <row r="126" spans="2:10" x14ac:dyDescent="0.25">
      <c r="B126" s="31"/>
      <c r="C126" s="31"/>
      <c r="D126" s="31"/>
      <c r="E126" s="31"/>
      <c r="F126" s="31"/>
      <c r="G126" s="31"/>
      <c r="H126" s="31"/>
      <c r="I126" s="31"/>
      <c r="J126" s="31"/>
    </row>
    <row r="127" spans="2:10" x14ac:dyDescent="0.25">
      <c r="B127" s="31"/>
      <c r="C127" s="31"/>
      <c r="D127" s="31"/>
      <c r="E127" s="31"/>
      <c r="F127" s="31"/>
      <c r="G127" s="31"/>
      <c r="H127" s="31"/>
      <c r="I127" s="31"/>
      <c r="J127" s="31"/>
    </row>
    <row r="128" spans="2:10" x14ac:dyDescent="0.25">
      <c r="B128" s="31"/>
      <c r="C128" s="31"/>
      <c r="D128" s="31"/>
      <c r="E128" s="31"/>
      <c r="F128" s="31"/>
      <c r="G128" s="31"/>
      <c r="H128" s="31"/>
      <c r="I128" s="31"/>
      <c r="J128" s="31"/>
    </row>
    <row r="129" spans="2:10" x14ac:dyDescent="0.25">
      <c r="B129" s="31"/>
      <c r="C129" s="31"/>
      <c r="D129" s="31"/>
      <c r="E129" s="31"/>
      <c r="F129" s="31"/>
      <c r="G129" s="31"/>
      <c r="H129" s="31"/>
      <c r="I129" s="31"/>
      <c r="J129" s="31"/>
    </row>
    <row r="130" spans="2:10" x14ac:dyDescent="0.25">
      <c r="B130" s="31"/>
      <c r="C130" s="31"/>
      <c r="D130" s="31"/>
      <c r="E130" s="31"/>
      <c r="F130" s="31"/>
      <c r="G130" s="31"/>
      <c r="H130" s="31"/>
      <c r="I130" s="31"/>
      <c r="J130" s="31"/>
    </row>
    <row r="131" spans="2:10" x14ac:dyDescent="0.25">
      <c r="B131" s="31"/>
      <c r="C131" s="31"/>
      <c r="D131" s="31"/>
      <c r="E131" s="31"/>
      <c r="F131" s="31"/>
      <c r="G131" s="31"/>
      <c r="H131" s="31"/>
      <c r="I131" s="31"/>
      <c r="J131" s="31"/>
    </row>
    <row r="132" spans="2:10" x14ac:dyDescent="0.25">
      <c r="B132" s="31"/>
      <c r="C132" s="31"/>
      <c r="D132" s="31"/>
      <c r="E132" s="31"/>
      <c r="F132" s="31"/>
      <c r="G132" s="31"/>
      <c r="H132" s="31"/>
      <c r="I132" s="31"/>
      <c r="J132" s="31"/>
    </row>
    <row r="133" spans="2:10" x14ac:dyDescent="0.25">
      <c r="B133" s="31"/>
      <c r="C133" s="31"/>
      <c r="D133" s="31"/>
      <c r="E133" s="31"/>
      <c r="F133" s="31"/>
      <c r="G133" s="31"/>
      <c r="H133" s="31"/>
      <c r="I133" s="31"/>
      <c r="J133" s="31"/>
    </row>
    <row r="134" spans="2:10" x14ac:dyDescent="0.25">
      <c r="B134" s="31"/>
      <c r="C134" s="31"/>
      <c r="D134" s="31"/>
      <c r="E134" s="31"/>
      <c r="F134" s="31"/>
      <c r="G134" s="31"/>
      <c r="H134" s="31"/>
      <c r="I134" s="31"/>
      <c r="J134" s="31"/>
    </row>
    <row r="135" spans="2:10" x14ac:dyDescent="0.25">
      <c r="B135" s="31"/>
      <c r="C135" s="31"/>
      <c r="D135" s="31"/>
      <c r="E135" s="31"/>
      <c r="F135" s="31"/>
      <c r="G135" s="31"/>
      <c r="H135" s="31"/>
      <c r="I135" s="31"/>
      <c r="J135" s="31"/>
    </row>
    <row r="136" spans="2:10" x14ac:dyDescent="0.25">
      <c r="B136" s="31"/>
      <c r="C136" s="31"/>
      <c r="D136" s="31"/>
      <c r="E136" s="31"/>
      <c r="F136" s="31"/>
      <c r="G136" s="31"/>
      <c r="H136" s="31"/>
      <c r="I136" s="31"/>
      <c r="J136" s="31"/>
    </row>
    <row r="137" spans="2:10" x14ac:dyDescent="0.25">
      <c r="B137" s="31"/>
      <c r="C137" s="31"/>
      <c r="D137" s="31"/>
      <c r="E137" s="31"/>
      <c r="F137" s="31"/>
      <c r="G137" s="31"/>
      <c r="H137" s="31"/>
      <c r="I137" s="31"/>
      <c r="J137" s="31"/>
    </row>
    <row r="138" spans="2:10" x14ac:dyDescent="0.25">
      <c r="B138" s="31"/>
      <c r="C138" s="31"/>
      <c r="D138" s="31"/>
      <c r="E138" s="31"/>
      <c r="F138" s="31"/>
      <c r="G138" s="31"/>
      <c r="H138" s="31"/>
      <c r="I138" s="31"/>
      <c r="J138" s="31"/>
    </row>
    <row r="139" spans="2:10" x14ac:dyDescent="0.25">
      <c r="B139" s="31"/>
      <c r="C139" s="31"/>
      <c r="D139" s="31"/>
      <c r="E139" s="31"/>
      <c r="F139" s="31"/>
      <c r="G139" s="31"/>
      <c r="H139" s="31"/>
      <c r="I139" s="31"/>
      <c r="J139" s="31"/>
    </row>
    <row r="140" spans="2:10" x14ac:dyDescent="0.25">
      <c r="B140" s="31"/>
      <c r="C140" s="31"/>
      <c r="D140" s="31"/>
      <c r="E140" s="31"/>
      <c r="F140" s="31"/>
      <c r="G140" s="31"/>
      <c r="H140" s="31"/>
      <c r="I140" s="31"/>
      <c r="J140" s="31"/>
    </row>
    <row r="141" spans="2:10" x14ac:dyDescent="0.25">
      <c r="B141" s="31"/>
      <c r="C141" s="31"/>
      <c r="D141" s="31"/>
      <c r="E141" s="31"/>
      <c r="F141" s="31"/>
      <c r="G141" s="31"/>
      <c r="H141" s="31"/>
      <c r="I141" s="31"/>
      <c r="J141" s="31"/>
    </row>
    <row r="142" spans="2:10" x14ac:dyDescent="0.25">
      <c r="B142" s="31"/>
      <c r="C142" s="31"/>
      <c r="D142" s="31"/>
      <c r="E142" s="31"/>
      <c r="F142" s="31"/>
      <c r="G142" s="31"/>
      <c r="H142" s="31"/>
      <c r="I142" s="31"/>
      <c r="J142" s="31"/>
    </row>
    <row r="143" spans="2:10" x14ac:dyDescent="0.25">
      <c r="B143" s="31"/>
      <c r="C143" s="31"/>
      <c r="D143" s="31"/>
      <c r="E143" s="31"/>
      <c r="F143" s="31"/>
      <c r="G143" s="31"/>
      <c r="H143" s="31"/>
      <c r="I143" s="31"/>
      <c r="J143" s="31"/>
    </row>
    <row r="144" spans="2:10" x14ac:dyDescent="0.25">
      <c r="B144" s="31"/>
      <c r="C144" s="31"/>
      <c r="D144" s="31"/>
      <c r="E144" s="31"/>
      <c r="F144" s="31"/>
      <c r="G144" s="31"/>
      <c r="H144" s="31"/>
      <c r="I144" s="31"/>
      <c r="J144" s="31"/>
    </row>
    <row r="145" spans="2:10" x14ac:dyDescent="0.25">
      <c r="B145" s="31"/>
      <c r="C145" s="31"/>
      <c r="D145" s="31"/>
      <c r="E145" s="31"/>
      <c r="F145" s="31"/>
      <c r="G145" s="31"/>
      <c r="H145" s="31"/>
      <c r="I145" s="31"/>
      <c r="J145" s="31"/>
    </row>
    <row r="146" spans="2:10" x14ac:dyDescent="0.25">
      <c r="B146" s="31"/>
      <c r="C146" s="31"/>
      <c r="D146" s="31"/>
      <c r="E146" s="31"/>
      <c r="F146" s="31"/>
      <c r="G146" s="31"/>
      <c r="H146" s="31"/>
      <c r="I146" s="31"/>
      <c r="J146" s="31"/>
    </row>
    <row r="147" spans="2:10" x14ac:dyDescent="0.25">
      <c r="B147" s="31"/>
      <c r="C147" s="31"/>
      <c r="D147" s="31"/>
      <c r="E147" s="31"/>
      <c r="F147" s="31"/>
      <c r="G147" s="31"/>
      <c r="H147" s="31"/>
      <c r="I147" s="31"/>
      <c r="J147" s="31"/>
    </row>
    <row r="148" spans="2:10" x14ac:dyDescent="0.25">
      <c r="B148" s="31"/>
      <c r="C148" s="31"/>
      <c r="D148" s="31"/>
      <c r="E148" s="31"/>
      <c r="F148" s="31"/>
      <c r="G148" s="31"/>
      <c r="H148" s="31"/>
      <c r="I148" s="31"/>
      <c r="J148" s="31"/>
    </row>
    <row r="149" spans="2:10" x14ac:dyDescent="0.25">
      <c r="B149" s="31"/>
      <c r="C149" s="31"/>
      <c r="D149" s="31"/>
      <c r="E149" s="31"/>
      <c r="F149" s="31"/>
      <c r="G149" s="31"/>
      <c r="H149" s="31"/>
      <c r="I149" s="31"/>
      <c r="J149" s="31"/>
    </row>
    <row r="150" spans="2:10" x14ac:dyDescent="0.25">
      <c r="B150" s="31"/>
      <c r="C150" s="31"/>
      <c r="D150" s="31"/>
      <c r="E150" s="31"/>
      <c r="F150" s="31"/>
      <c r="G150" s="31"/>
      <c r="H150" s="31"/>
      <c r="I150" s="31"/>
      <c r="J150" s="31"/>
    </row>
    <row r="151" spans="2:10" x14ac:dyDescent="0.25">
      <c r="B151" s="31"/>
      <c r="C151" s="31"/>
      <c r="D151" s="31"/>
      <c r="E151" s="31"/>
      <c r="F151" s="31"/>
      <c r="G151" s="31"/>
      <c r="H151" s="31"/>
      <c r="I151" s="31"/>
      <c r="J151" s="31"/>
    </row>
    <row r="152" spans="2:10" x14ac:dyDescent="0.25">
      <c r="B152" s="31"/>
      <c r="C152" s="31"/>
      <c r="D152" s="31"/>
      <c r="E152" s="31"/>
      <c r="F152" s="31"/>
      <c r="G152" s="31"/>
      <c r="H152" s="31"/>
      <c r="I152" s="31"/>
      <c r="J152" s="31"/>
    </row>
    <row r="153" spans="2:10" x14ac:dyDescent="0.25">
      <c r="B153" s="31"/>
      <c r="C153" s="31"/>
      <c r="D153" s="31"/>
      <c r="E153" s="31"/>
      <c r="F153" s="31"/>
      <c r="G153" s="31"/>
      <c r="H153" s="31"/>
      <c r="I153" s="31"/>
      <c r="J153" s="31"/>
    </row>
    <row r="154" spans="2:10" x14ac:dyDescent="0.25">
      <c r="B154" s="31"/>
      <c r="C154" s="31"/>
      <c r="D154" s="31"/>
      <c r="E154" s="31"/>
      <c r="F154" s="31"/>
      <c r="G154" s="31"/>
      <c r="H154" s="31"/>
      <c r="I154" s="31"/>
      <c r="J154" s="31"/>
    </row>
    <row r="155" spans="2:10" x14ac:dyDescent="0.25">
      <c r="B155" s="31"/>
      <c r="C155" s="31"/>
      <c r="D155" s="31"/>
      <c r="E155" s="31"/>
      <c r="F155" s="31"/>
      <c r="G155" s="31"/>
      <c r="H155" s="31"/>
      <c r="I155" s="31"/>
      <c r="J155" s="31"/>
    </row>
    <row r="156" spans="2:10" x14ac:dyDescent="0.25">
      <c r="B156" s="31"/>
      <c r="C156" s="31"/>
      <c r="D156" s="31"/>
      <c r="E156" s="31"/>
      <c r="F156" s="31"/>
      <c r="G156" s="31"/>
      <c r="H156" s="31"/>
      <c r="I156" s="31"/>
      <c r="J156" s="31"/>
    </row>
    <row r="157" spans="2:10" x14ac:dyDescent="0.25">
      <c r="B157" s="31"/>
      <c r="C157" s="31"/>
      <c r="D157" s="31"/>
      <c r="E157" s="31"/>
      <c r="F157" s="31"/>
      <c r="G157" s="31"/>
      <c r="H157" s="31"/>
      <c r="I157" s="31"/>
      <c r="J157" s="31"/>
    </row>
    <row r="158" spans="2:10" x14ac:dyDescent="0.25">
      <c r="B158" s="31"/>
      <c r="C158" s="31"/>
      <c r="D158" s="31"/>
      <c r="E158" s="31"/>
      <c r="F158" s="31"/>
      <c r="G158" s="31"/>
      <c r="H158" s="31"/>
      <c r="I158" s="31"/>
      <c r="J158" s="31"/>
    </row>
    <row r="159" spans="2:10" x14ac:dyDescent="0.25">
      <c r="B159" s="31"/>
      <c r="C159" s="31"/>
      <c r="D159" s="31"/>
      <c r="E159" s="31"/>
      <c r="F159" s="31"/>
      <c r="G159" s="31"/>
      <c r="H159" s="31"/>
      <c r="I159" s="31"/>
      <c r="J159" s="31"/>
    </row>
    <row r="160" spans="2:10" x14ac:dyDescent="0.25">
      <c r="B160" s="31"/>
      <c r="C160" s="31"/>
      <c r="D160" s="31"/>
      <c r="E160" s="31"/>
      <c r="F160" s="31"/>
      <c r="G160" s="31"/>
      <c r="H160" s="31"/>
      <c r="I160" s="31"/>
      <c r="J160" s="31"/>
    </row>
    <row r="161" spans="2:10" x14ac:dyDescent="0.25">
      <c r="B161" s="31"/>
      <c r="C161" s="31"/>
      <c r="D161" s="31"/>
      <c r="E161" s="31"/>
      <c r="F161" s="31"/>
      <c r="G161" s="31"/>
      <c r="H161" s="31"/>
      <c r="I161" s="31"/>
      <c r="J161" s="31"/>
    </row>
    <row r="162" spans="2:10" x14ac:dyDescent="0.25">
      <c r="B162" s="31"/>
      <c r="C162" s="31"/>
      <c r="D162" s="31"/>
      <c r="E162" s="31"/>
      <c r="F162" s="31"/>
      <c r="G162" s="31"/>
      <c r="H162" s="31"/>
      <c r="I162" s="31"/>
      <c r="J162" s="31"/>
    </row>
  </sheetData>
  <mergeCells count="3">
    <mergeCell ref="A4:A7"/>
    <mergeCell ref="A8:A11"/>
    <mergeCell ref="A12:A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FF74-5DDC-473E-A68B-F4C97AB0C3B9}">
  <dimension ref="A2:O162"/>
  <sheetViews>
    <sheetView zoomScaleNormal="100" workbookViewId="0"/>
  </sheetViews>
  <sheetFormatPr baseColWidth="10" defaultRowHeight="15" x14ac:dyDescent="0.25"/>
  <cols>
    <col min="1" max="1" width="19.140625" style="1" customWidth="1"/>
    <col min="2" max="6" width="20.42578125" style="1" customWidth="1"/>
    <col min="7" max="8" width="17.85546875" style="1" customWidth="1"/>
    <col min="9" max="10" width="20.28515625" style="1" customWidth="1"/>
    <col min="11" max="13" width="19" style="1" customWidth="1"/>
    <col min="14" max="16384" width="11.42578125" style="1"/>
  </cols>
  <sheetData>
    <row r="2" spans="1:15" ht="24" x14ac:dyDescent="0.25">
      <c r="G2" s="48">
        <v>1</v>
      </c>
      <c r="H2" s="48">
        <v>2</v>
      </c>
      <c r="I2" s="48">
        <v>3</v>
      </c>
      <c r="J2" s="48">
        <v>4</v>
      </c>
    </row>
    <row r="3" spans="1:15" ht="54.75" customHeight="1" x14ac:dyDescent="0.25">
      <c r="A3" s="7" t="s">
        <v>16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8</v>
      </c>
      <c r="G3" s="36" t="s">
        <v>9</v>
      </c>
      <c r="H3" s="36" t="s">
        <v>10</v>
      </c>
      <c r="I3" s="36" t="s">
        <v>12</v>
      </c>
      <c r="J3" s="36" t="s">
        <v>11</v>
      </c>
      <c r="K3" s="10"/>
      <c r="L3" s="10"/>
      <c r="M3" s="10"/>
    </row>
    <row r="4" spans="1:15" ht="18.75" customHeight="1" x14ac:dyDescent="0.25">
      <c r="A4" s="79" t="s">
        <v>17</v>
      </c>
      <c r="B4" s="2" t="s">
        <v>4</v>
      </c>
      <c r="C4" s="15">
        <v>2.9</v>
      </c>
      <c r="D4" s="14">
        <v>2.42</v>
      </c>
      <c r="E4" s="15">
        <v>0.11</v>
      </c>
      <c r="F4" s="15">
        <v>7.0000000000000007E-2</v>
      </c>
      <c r="G4" s="5"/>
      <c r="H4" s="5"/>
      <c r="I4" s="13"/>
      <c r="J4" s="23"/>
    </row>
    <row r="5" spans="1:15" ht="18.75" customHeight="1" x14ac:dyDescent="0.25">
      <c r="A5" s="80"/>
      <c r="B5" s="4" t="s">
        <v>5</v>
      </c>
      <c r="C5" s="16">
        <v>3.82</v>
      </c>
      <c r="D5" s="16">
        <v>3.26</v>
      </c>
      <c r="E5" s="17">
        <v>0.3</v>
      </c>
      <c r="F5" s="17">
        <v>0.26</v>
      </c>
      <c r="G5" s="5"/>
      <c r="H5" s="5"/>
      <c r="I5" s="13"/>
      <c r="J5" s="23"/>
    </row>
    <row r="6" spans="1:15" ht="18.75" customHeight="1" x14ac:dyDescent="0.25">
      <c r="A6" s="80"/>
      <c r="B6" s="4" t="s">
        <v>6</v>
      </c>
      <c r="C6" s="16">
        <v>2.84</v>
      </c>
      <c r="D6" s="16">
        <v>2.0299999999999998</v>
      </c>
      <c r="E6" s="17">
        <v>0.59</v>
      </c>
      <c r="F6" s="17">
        <v>0.67</v>
      </c>
      <c r="G6" s="5"/>
      <c r="H6" s="5"/>
      <c r="I6" s="13"/>
      <c r="J6" s="23"/>
    </row>
    <row r="7" spans="1:15" ht="18.75" customHeight="1" x14ac:dyDescent="0.25">
      <c r="A7" s="81"/>
      <c r="B7" s="6" t="s">
        <v>7</v>
      </c>
      <c r="C7" s="11">
        <v>3.14</v>
      </c>
      <c r="D7" s="11">
        <v>2.37</v>
      </c>
      <c r="E7" s="11">
        <f>SUM(E4:E6)</f>
        <v>1</v>
      </c>
      <c r="F7" s="11">
        <f>SUM(F4:F6)</f>
        <v>1</v>
      </c>
      <c r="G7" s="13"/>
      <c r="H7" s="13"/>
      <c r="I7" s="25"/>
      <c r="J7" s="25"/>
    </row>
    <row r="8" spans="1:15" ht="18.75" customHeight="1" x14ac:dyDescent="0.25">
      <c r="A8" s="79" t="s">
        <v>18</v>
      </c>
      <c r="B8" s="2" t="s">
        <v>4</v>
      </c>
      <c r="C8" s="14">
        <v>2.89</v>
      </c>
      <c r="D8" s="14">
        <v>2.29</v>
      </c>
      <c r="E8" s="15">
        <v>0.06</v>
      </c>
      <c r="F8" s="15">
        <v>0.01</v>
      </c>
      <c r="G8" s="3">
        <f>AVERAGE(C8:D8)</f>
        <v>2.59</v>
      </c>
      <c r="H8" s="26">
        <f>AVERAGE(E8:F8)</f>
        <v>3.4999999999999996E-2</v>
      </c>
      <c r="I8" s="26">
        <f>C8-D8</f>
        <v>0.60000000000000009</v>
      </c>
      <c r="J8" s="26">
        <f>E8-F8</f>
        <v>4.9999999999999996E-2</v>
      </c>
      <c r="K8" s="5"/>
      <c r="L8" s="5"/>
      <c r="M8" s="5"/>
      <c r="N8" s="5"/>
      <c r="O8" s="5"/>
    </row>
    <row r="9" spans="1:15" ht="18.75" customHeight="1" x14ac:dyDescent="0.25">
      <c r="A9" s="80"/>
      <c r="B9" s="4" t="s">
        <v>5</v>
      </c>
      <c r="C9" s="16">
        <v>4.07</v>
      </c>
      <c r="D9" s="16">
        <v>3.43</v>
      </c>
      <c r="E9" s="17">
        <v>0.17</v>
      </c>
      <c r="F9" s="17">
        <v>0.04</v>
      </c>
      <c r="G9" s="5">
        <f t="shared" ref="G9:G10" si="0">AVERAGE(C9:D9)</f>
        <v>3.75</v>
      </c>
      <c r="H9" s="19">
        <f t="shared" ref="H9:H10" si="1">AVERAGE(E9:F9)</f>
        <v>0.10500000000000001</v>
      </c>
      <c r="I9" s="19">
        <f t="shared" ref="I9:I10" si="2">C9-D9</f>
        <v>0.64000000000000012</v>
      </c>
      <c r="J9" s="19">
        <f t="shared" ref="J9:J10" si="3">E9-F9</f>
        <v>0.13</v>
      </c>
      <c r="K9" s="5"/>
      <c r="L9" s="5"/>
      <c r="M9" s="5"/>
      <c r="N9" s="5"/>
      <c r="O9" s="5"/>
    </row>
    <row r="10" spans="1:15" ht="18.75" customHeight="1" x14ac:dyDescent="0.25">
      <c r="A10" s="80"/>
      <c r="B10" s="4" t="s">
        <v>6</v>
      </c>
      <c r="C10" s="16">
        <v>3.79</v>
      </c>
      <c r="D10" s="16">
        <v>3.15</v>
      </c>
      <c r="E10" s="17">
        <v>0.24</v>
      </c>
      <c r="F10" s="17">
        <v>0.08</v>
      </c>
      <c r="G10" s="27">
        <f t="shared" si="0"/>
        <v>3.4699999999999998</v>
      </c>
      <c r="H10" s="28">
        <f t="shared" si="1"/>
        <v>0.16</v>
      </c>
      <c r="I10" s="28">
        <f t="shared" si="2"/>
        <v>0.64000000000000012</v>
      </c>
      <c r="J10" s="28">
        <f t="shared" si="3"/>
        <v>0.15999999999999998</v>
      </c>
      <c r="K10" s="5"/>
      <c r="L10" s="5"/>
      <c r="M10" s="5"/>
      <c r="N10" s="5"/>
      <c r="O10" s="5"/>
    </row>
    <row r="11" spans="1:15" ht="18.75" customHeight="1" x14ac:dyDescent="0.25">
      <c r="A11" s="81"/>
      <c r="B11" s="6" t="s">
        <v>7</v>
      </c>
      <c r="C11" s="11">
        <v>3.77</v>
      </c>
      <c r="D11" s="11">
        <v>3.13</v>
      </c>
      <c r="E11" s="11">
        <f>SUM(E8:E10)</f>
        <v>0.47</v>
      </c>
      <c r="F11" s="11">
        <f>SUM(F8:F10)</f>
        <v>0.13</v>
      </c>
      <c r="G11" s="28"/>
      <c r="H11" s="29"/>
      <c r="I11" s="29"/>
      <c r="J11" s="30"/>
      <c r="K11" s="5"/>
      <c r="L11" s="5"/>
      <c r="M11" s="5"/>
      <c r="N11" s="5"/>
      <c r="O11" s="5"/>
    </row>
    <row r="12" spans="1:15" ht="18.75" customHeight="1" x14ac:dyDescent="0.25">
      <c r="A12" s="79" t="s">
        <v>19</v>
      </c>
      <c r="B12" s="2" t="s">
        <v>4</v>
      </c>
      <c r="C12" s="14">
        <v>2.92</v>
      </c>
      <c r="D12" s="14">
        <v>2.4500000000000002</v>
      </c>
      <c r="E12" s="15">
        <v>0.05</v>
      </c>
      <c r="F12" s="15">
        <v>0.06</v>
      </c>
      <c r="G12" s="3">
        <f>AVERAGE(C12:D12)</f>
        <v>2.6850000000000001</v>
      </c>
      <c r="H12" s="26">
        <f>AVERAGE(E12:F12)</f>
        <v>5.5E-2</v>
      </c>
      <c r="I12" s="26">
        <f>C12-D12</f>
        <v>0.46999999999999975</v>
      </c>
      <c r="J12" s="26">
        <f>E12-F12</f>
        <v>-9.999999999999995E-3</v>
      </c>
      <c r="K12" s="5"/>
      <c r="L12" s="5"/>
      <c r="M12" s="5"/>
      <c r="N12" s="5"/>
      <c r="O12" s="5"/>
    </row>
    <row r="13" spans="1:15" ht="18.75" customHeight="1" x14ac:dyDescent="0.25">
      <c r="A13" s="80"/>
      <c r="B13" s="4" t="s">
        <v>5</v>
      </c>
      <c r="C13" s="16">
        <v>3.49</v>
      </c>
      <c r="D13" s="16">
        <v>3.23</v>
      </c>
      <c r="E13" s="17">
        <v>0.13</v>
      </c>
      <c r="F13" s="17">
        <v>0.22</v>
      </c>
      <c r="G13" s="5">
        <f t="shared" ref="G13:G14" si="4">AVERAGE(C13:D13)</f>
        <v>3.3600000000000003</v>
      </c>
      <c r="H13" s="19">
        <f t="shared" ref="H13:H14" si="5">AVERAGE(E13:F13)</f>
        <v>0.17499999999999999</v>
      </c>
      <c r="I13" s="19">
        <f t="shared" ref="I13:I14" si="6">C13-D13</f>
        <v>0.26000000000000023</v>
      </c>
      <c r="J13" s="19">
        <f t="shared" ref="J13:J14" si="7">E13-F13</f>
        <v>-0.09</v>
      </c>
      <c r="K13" s="5"/>
      <c r="L13" s="5"/>
      <c r="M13" s="5"/>
      <c r="N13" s="5"/>
      <c r="O13" s="5"/>
    </row>
    <row r="14" spans="1:15" ht="18.75" customHeight="1" x14ac:dyDescent="0.25">
      <c r="A14" s="80"/>
      <c r="B14" s="4" t="s">
        <v>6</v>
      </c>
      <c r="C14" s="16">
        <v>2.2000000000000002</v>
      </c>
      <c r="D14" s="16">
        <v>1.88</v>
      </c>
      <c r="E14" s="17">
        <v>0.35</v>
      </c>
      <c r="F14" s="17">
        <v>0.59</v>
      </c>
      <c r="G14" s="27">
        <f t="shared" si="4"/>
        <v>2.04</v>
      </c>
      <c r="H14" s="28">
        <f t="shared" si="5"/>
        <v>0.47</v>
      </c>
      <c r="I14" s="28">
        <f t="shared" si="6"/>
        <v>0.32000000000000028</v>
      </c>
      <c r="J14" s="28">
        <f t="shared" si="7"/>
        <v>-0.24</v>
      </c>
      <c r="K14" s="5"/>
      <c r="L14" s="5"/>
      <c r="M14" s="5"/>
      <c r="N14" s="5"/>
      <c r="O14" s="5"/>
    </row>
    <row r="15" spans="1:15" ht="18.75" customHeight="1" x14ac:dyDescent="0.25">
      <c r="A15" s="81"/>
      <c r="B15" s="6" t="s">
        <v>7</v>
      </c>
      <c r="C15" s="11">
        <v>2.58</v>
      </c>
      <c r="D15" s="11">
        <v>2.2599999999999998</v>
      </c>
      <c r="E15" s="11">
        <f>SUM(E12:E14)</f>
        <v>0.53</v>
      </c>
      <c r="F15" s="11">
        <f>SUM(F12:F14)</f>
        <v>0.87</v>
      </c>
      <c r="G15" s="18"/>
      <c r="H15" s="21"/>
      <c r="I15" s="21"/>
      <c r="J15" s="20"/>
      <c r="K15" s="5"/>
      <c r="L15" s="5"/>
      <c r="M15" s="5"/>
      <c r="N15" s="5"/>
      <c r="O15" s="5"/>
    </row>
    <row r="16" spans="1:15" ht="18.75" customHeight="1" x14ac:dyDescent="0.25">
      <c r="A16" s="12" t="s">
        <v>18</v>
      </c>
      <c r="B16" s="12" t="s">
        <v>19</v>
      </c>
      <c r="K16" s="24"/>
      <c r="L16" s="24"/>
      <c r="M16" s="24"/>
      <c r="N16" s="24"/>
      <c r="O16" s="5"/>
    </row>
    <row r="18" spans="2:10" ht="21" x14ac:dyDescent="0.35">
      <c r="B18" s="8" t="s">
        <v>13</v>
      </c>
    </row>
    <row r="19" spans="2:10" ht="24" x14ac:dyDescent="0.25">
      <c r="B19" s="35">
        <f>C7-D7</f>
        <v>0.77</v>
      </c>
    </row>
    <row r="21" spans="2:10" s="9" customFormat="1" ht="25.5" customHeight="1" x14ac:dyDescent="0.35">
      <c r="D21" s="44"/>
      <c r="E21" s="45"/>
    </row>
    <row r="22" spans="2:10" s="9" customFormat="1" ht="25.5" customHeight="1" x14ac:dyDescent="0.35">
      <c r="D22" s="44"/>
      <c r="E22" s="46"/>
    </row>
    <row r="26" spans="2:10" ht="18.75" x14ac:dyDescent="0.3">
      <c r="B26" s="33"/>
      <c r="C26" s="32"/>
      <c r="D26" s="32"/>
      <c r="E26" s="32"/>
      <c r="F26" s="32"/>
      <c r="G26" s="32"/>
      <c r="H26" s="32"/>
      <c r="I26" s="32"/>
      <c r="J26" s="32"/>
    </row>
    <row r="27" spans="2:10" ht="15.75" x14ac:dyDescent="0.25">
      <c r="B27" s="10"/>
      <c r="C27" s="10"/>
      <c r="D27" s="10"/>
      <c r="E27" s="10"/>
      <c r="F27" s="10"/>
      <c r="G27" s="10"/>
      <c r="H27" s="10"/>
      <c r="I27" s="10"/>
      <c r="J27" s="32"/>
    </row>
    <row r="28" spans="2:10" ht="15.75" x14ac:dyDescent="0.25">
      <c r="B28" s="32"/>
      <c r="C28" s="32"/>
      <c r="D28" s="32"/>
      <c r="E28" s="32"/>
      <c r="F28" s="32"/>
      <c r="G28" s="32"/>
      <c r="H28" s="32"/>
      <c r="I28" s="32"/>
      <c r="J28" s="32"/>
    </row>
    <row r="29" spans="2:10" ht="15.75" x14ac:dyDescent="0.25">
      <c r="B29" s="32"/>
      <c r="C29" s="32"/>
      <c r="D29" s="32"/>
      <c r="E29" s="32"/>
      <c r="F29" s="32"/>
      <c r="G29" s="32"/>
      <c r="H29" s="32"/>
      <c r="I29" s="32"/>
      <c r="J29" s="32"/>
    </row>
    <row r="30" spans="2:10" ht="15.75" x14ac:dyDescent="0.25">
      <c r="B30" s="32"/>
      <c r="C30" s="32"/>
      <c r="D30" s="32"/>
      <c r="E30" s="32"/>
      <c r="F30" s="32"/>
      <c r="G30" s="32"/>
      <c r="H30" s="32"/>
      <c r="I30" s="32"/>
      <c r="J30" s="32"/>
    </row>
    <row r="31" spans="2:10" ht="18.75" x14ac:dyDescent="0.3">
      <c r="B31" s="33"/>
      <c r="C31" s="32"/>
      <c r="D31" s="32"/>
      <c r="E31" s="32"/>
      <c r="F31" s="32"/>
      <c r="G31" s="32"/>
      <c r="H31" s="32"/>
      <c r="I31" s="32"/>
      <c r="J31" s="32"/>
    </row>
    <row r="32" spans="2:10" ht="15.75" x14ac:dyDescent="0.25">
      <c r="B32" s="10"/>
      <c r="C32" s="10"/>
      <c r="D32" s="10"/>
      <c r="E32" s="10"/>
      <c r="F32" s="10"/>
      <c r="G32" s="10"/>
      <c r="H32" s="10"/>
      <c r="I32" s="10"/>
      <c r="J32" s="32"/>
    </row>
    <row r="33" spans="2:10" ht="15.75" x14ac:dyDescent="0.25">
      <c r="B33" s="32"/>
      <c r="C33" s="32"/>
      <c r="D33" s="32"/>
      <c r="E33" s="32"/>
      <c r="F33" s="32"/>
      <c r="G33" s="32"/>
      <c r="H33" s="32"/>
      <c r="I33" s="32"/>
      <c r="J33" s="32"/>
    </row>
    <row r="34" spans="2:10" ht="15.75" x14ac:dyDescent="0.25">
      <c r="B34" s="32"/>
      <c r="C34" s="32"/>
      <c r="D34" s="32"/>
      <c r="E34" s="32"/>
      <c r="F34" s="32"/>
      <c r="G34" s="32"/>
      <c r="H34" s="32"/>
      <c r="I34" s="32"/>
      <c r="J34" s="32"/>
    </row>
    <row r="35" spans="2:10" ht="15.75" x14ac:dyDescent="0.25">
      <c r="B35" s="32"/>
      <c r="C35" s="32"/>
      <c r="D35" s="32"/>
      <c r="E35" s="32"/>
      <c r="F35" s="32"/>
      <c r="G35" s="32"/>
      <c r="H35" s="32"/>
      <c r="I35" s="32"/>
      <c r="J35" s="32"/>
    </row>
    <row r="36" spans="2:10" ht="15.75" x14ac:dyDescent="0.25">
      <c r="B36" s="32"/>
      <c r="C36" s="32"/>
      <c r="D36" s="32"/>
      <c r="E36" s="32"/>
      <c r="F36" s="32"/>
      <c r="G36" s="32"/>
      <c r="H36" s="32"/>
      <c r="I36" s="32"/>
      <c r="J36" s="32"/>
    </row>
    <row r="37" spans="2:10" ht="15.75" x14ac:dyDescent="0.25">
      <c r="B37" s="32"/>
      <c r="C37" s="32"/>
      <c r="D37" s="32"/>
      <c r="E37" s="32"/>
      <c r="F37" s="32"/>
      <c r="G37" s="32"/>
      <c r="H37" s="32"/>
      <c r="I37" s="32"/>
      <c r="J37" s="32"/>
    </row>
    <row r="38" spans="2:10" ht="15.75" x14ac:dyDescent="0.25">
      <c r="B38" s="32"/>
      <c r="C38" s="32"/>
      <c r="D38" s="32"/>
      <c r="E38" s="32"/>
      <c r="F38" s="32"/>
      <c r="G38" s="32"/>
      <c r="H38" s="32"/>
      <c r="I38" s="32"/>
      <c r="J38" s="32"/>
    </row>
    <row r="39" spans="2:10" ht="15.75" x14ac:dyDescent="0.25">
      <c r="B39" s="32"/>
      <c r="C39" s="32"/>
      <c r="D39" s="32"/>
      <c r="E39" s="32"/>
      <c r="F39" s="32"/>
      <c r="G39" s="32"/>
      <c r="H39" s="32"/>
      <c r="I39" s="32"/>
      <c r="J39" s="32"/>
    </row>
    <row r="40" spans="2:10" ht="15.75" x14ac:dyDescent="0.25">
      <c r="B40" s="32"/>
      <c r="C40" s="32"/>
      <c r="D40" s="32"/>
      <c r="E40" s="32"/>
      <c r="F40" s="32"/>
      <c r="G40" s="32"/>
      <c r="H40" s="32"/>
      <c r="I40" s="32"/>
      <c r="J40" s="32"/>
    </row>
    <row r="41" spans="2:10" ht="15.75" x14ac:dyDescent="0.25">
      <c r="B41" s="32"/>
      <c r="C41" s="32"/>
      <c r="D41" s="32"/>
      <c r="E41" s="32"/>
      <c r="F41" s="32"/>
      <c r="G41" s="32"/>
      <c r="H41" s="32"/>
      <c r="I41" s="32"/>
      <c r="J41" s="32"/>
    </row>
    <row r="42" spans="2:10" ht="15.75" x14ac:dyDescent="0.25">
      <c r="B42" s="32"/>
      <c r="C42" s="32"/>
      <c r="D42" s="32"/>
      <c r="E42" s="32"/>
      <c r="F42" s="32"/>
      <c r="G42" s="32"/>
      <c r="H42" s="32"/>
      <c r="I42" s="32"/>
      <c r="J42" s="32"/>
    </row>
    <row r="43" spans="2:10" ht="15.75" x14ac:dyDescent="0.25">
      <c r="B43" s="32"/>
      <c r="C43" s="32"/>
      <c r="D43" s="32"/>
      <c r="E43" s="32"/>
      <c r="F43" s="32"/>
      <c r="G43" s="32"/>
      <c r="H43" s="32"/>
      <c r="I43" s="32"/>
      <c r="J43" s="32"/>
    </row>
    <row r="44" spans="2:10" ht="15.75" x14ac:dyDescent="0.25">
      <c r="B44" s="32"/>
      <c r="C44" s="32"/>
      <c r="D44" s="32"/>
      <c r="E44" s="32"/>
      <c r="F44" s="32"/>
      <c r="G44" s="32"/>
      <c r="H44" s="32"/>
      <c r="I44" s="32"/>
      <c r="J44" s="32"/>
    </row>
    <row r="45" spans="2:10" ht="15.75" x14ac:dyDescent="0.25">
      <c r="B45" s="32"/>
      <c r="C45" s="32"/>
      <c r="D45" s="32"/>
      <c r="E45" s="32"/>
      <c r="F45" s="32"/>
      <c r="G45" s="32"/>
      <c r="H45" s="32"/>
      <c r="I45" s="32"/>
      <c r="J45" s="32"/>
    </row>
    <row r="46" spans="2:10" ht="15.75" x14ac:dyDescent="0.25">
      <c r="B46" s="32"/>
      <c r="C46" s="32"/>
      <c r="D46" s="32"/>
      <c r="E46" s="32"/>
      <c r="F46" s="32"/>
      <c r="G46" s="32"/>
      <c r="H46" s="32"/>
      <c r="I46" s="32"/>
      <c r="J46" s="32"/>
    </row>
    <row r="47" spans="2:10" ht="15.75" x14ac:dyDescent="0.25">
      <c r="B47" s="32"/>
      <c r="C47" s="32"/>
      <c r="D47" s="32"/>
      <c r="E47" s="32"/>
      <c r="F47" s="32"/>
      <c r="G47" s="32"/>
      <c r="H47" s="32"/>
      <c r="I47" s="32"/>
      <c r="J47" s="32"/>
    </row>
    <row r="48" spans="2:10" ht="15.75" x14ac:dyDescent="0.25">
      <c r="B48" s="32"/>
      <c r="C48" s="32"/>
      <c r="D48" s="32"/>
      <c r="E48" s="32"/>
      <c r="F48" s="32"/>
      <c r="G48" s="32"/>
      <c r="H48" s="32"/>
      <c r="I48" s="32"/>
      <c r="J48" s="32"/>
    </row>
    <row r="49" spans="2:10" ht="15.75" x14ac:dyDescent="0.25">
      <c r="B49" s="32"/>
      <c r="C49" s="32"/>
      <c r="D49" s="32"/>
      <c r="E49" s="32"/>
      <c r="F49" s="32"/>
      <c r="G49" s="32"/>
      <c r="H49" s="32"/>
      <c r="I49" s="32"/>
      <c r="J49" s="32"/>
    </row>
    <row r="50" spans="2:10" ht="15.75" x14ac:dyDescent="0.25">
      <c r="B50" s="32"/>
      <c r="C50" s="32"/>
      <c r="D50" s="32"/>
      <c r="E50" s="32"/>
      <c r="F50" s="32"/>
      <c r="G50" s="32"/>
      <c r="H50" s="32"/>
      <c r="I50" s="32"/>
      <c r="J50" s="32"/>
    </row>
    <row r="51" spans="2:10" ht="15.75" x14ac:dyDescent="0.25">
      <c r="B51" s="32"/>
      <c r="C51" s="32"/>
      <c r="D51" s="32"/>
      <c r="E51" s="32"/>
      <c r="F51" s="32"/>
      <c r="G51" s="32"/>
      <c r="H51" s="32"/>
      <c r="I51" s="32"/>
      <c r="J51" s="32"/>
    </row>
    <row r="52" spans="2:10" x14ac:dyDescent="0.25">
      <c r="B52" s="31"/>
      <c r="C52" s="31"/>
      <c r="D52" s="31"/>
      <c r="E52" s="31"/>
      <c r="F52" s="31"/>
      <c r="G52" s="31"/>
      <c r="H52" s="31"/>
      <c r="I52" s="31"/>
      <c r="J52" s="31"/>
    </row>
    <row r="53" spans="2:10" x14ac:dyDescent="0.25">
      <c r="B53" s="31"/>
      <c r="C53" s="31"/>
      <c r="D53" s="31"/>
      <c r="E53" s="31"/>
      <c r="F53" s="31"/>
      <c r="G53" s="31"/>
      <c r="H53" s="31"/>
      <c r="I53" s="31"/>
      <c r="J53" s="31"/>
    </row>
    <row r="54" spans="2:10" x14ac:dyDescent="0.25">
      <c r="B54" s="31"/>
      <c r="C54" s="31"/>
      <c r="D54" s="31"/>
      <c r="E54" s="31"/>
      <c r="F54" s="31"/>
      <c r="G54" s="31"/>
      <c r="H54" s="31"/>
      <c r="I54" s="31"/>
      <c r="J54" s="31"/>
    </row>
    <row r="55" spans="2:10" x14ac:dyDescent="0.25">
      <c r="B55" s="31"/>
      <c r="C55" s="31"/>
      <c r="D55" s="31"/>
      <c r="E55" s="31"/>
      <c r="F55" s="31"/>
      <c r="G55" s="31"/>
      <c r="H55" s="31"/>
      <c r="I55" s="31"/>
      <c r="J55" s="31"/>
    </row>
    <row r="56" spans="2:10" x14ac:dyDescent="0.25">
      <c r="B56" s="31"/>
      <c r="C56" s="31"/>
      <c r="D56" s="31"/>
      <c r="E56" s="31"/>
      <c r="F56" s="31"/>
      <c r="G56" s="31"/>
      <c r="H56" s="31"/>
      <c r="I56" s="31"/>
      <c r="J56" s="31"/>
    </row>
    <row r="57" spans="2:10" x14ac:dyDescent="0.25">
      <c r="B57" s="31"/>
      <c r="C57" s="31"/>
      <c r="D57" s="31"/>
      <c r="E57" s="31"/>
      <c r="F57" s="31"/>
      <c r="G57" s="31"/>
      <c r="H57" s="31"/>
      <c r="I57" s="31"/>
      <c r="J57" s="31"/>
    </row>
    <row r="58" spans="2:10" x14ac:dyDescent="0.25">
      <c r="B58" s="31"/>
      <c r="C58" s="31"/>
      <c r="D58" s="31"/>
      <c r="E58" s="31"/>
      <c r="F58" s="31"/>
      <c r="G58" s="31"/>
      <c r="H58" s="31"/>
      <c r="I58" s="31"/>
      <c r="J58" s="31"/>
    </row>
    <row r="59" spans="2:10" x14ac:dyDescent="0.25">
      <c r="B59" s="31"/>
      <c r="C59" s="31"/>
      <c r="D59" s="31"/>
      <c r="E59" s="31"/>
      <c r="F59" s="31"/>
      <c r="G59" s="31"/>
      <c r="H59" s="31"/>
      <c r="I59" s="31"/>
      <c r="J59" s="31"/>
    </row>
    <row r="60" spans="2:10" x14ac:dyDescent="0.25">
      <c r="B60" s="31"/>
      <c r="C60" s="31"/>
      <c r="D60" s="31"/>
      <c r="E60" s="31"/>
      <c r="F60" s="31"/>
      <c r="G60" s="31"/>
      <c r="H60" s="31"/>
      <c r="I60" s="31"/>
      <c r="J60" s="31"/>
    </row>
    <row r="61" spans="2:10" x14ac:dyDescent="0.25">
      <c r="B61" s="31"/>
      <c r="C61" s="31"/>
      <c r="D61" s="31"/>
      <c r="E61" s="31"/>
      <c r="F61" s="31"/>
      <c r="G61" s="31"/>
      <c r="H61" s="31"/>
      <c r="I61" s="31"/>
      <c r="J61" s="31"/>
    </row>
    <row r="62" spans="2:10" x14ac:dyDescent="0.25">
      <c r="B62" s="31"/>
      <c r="C62" s="31"/>
      <c r="D62" s="31"/>
      <c r="E62" s="31"/>
      <c r="F62" s="31"/>
      <c r="G62" s="31"/>
      <c r="H62" s="31"/>
      <c r="I62" s="31"/>
      <c r="J62" s="31"/>
    </row>
    <row r="63" spans="2:10" x14ac:dyDescent="0.25">
      <c r="B63" s="31"/>
      <c r="C63" s="31"/>
      <c r="D63" s="31"/>
      <c r="E63" s="31"/>
      <c r="F63" s="31"/>
      <c r="G63" s="31"/>
      <c r="H63" s="31"/>
      <c r="I63" s="31"/>
      <c r="J63" s="31"/>
    </row>
    <row r="64" spans="2:10" x14ac:dyDescent="0.25">
      <c r="B64" s="31"/>
      <c r="C64" s="31"/>
      <c r="D64" s="31"/>
      <c r="E64" s="31"/>
      <c r="F64" s="31"/>
      <c r="G64" s="31"/>
      <c r="H64" s="31"/>
      <c r="I64" s="31"/>
      <c r="J64" s="31"/>
    </row>
    <row r="65" spans="2:10" x14ac:dyDescent="0.25">
      <c r="B65" s="31"/>
      <c r="C65" s="31"/>
      <c r="D65" s="31"/>
      <c r="E65" s="31"/>
      <c r="F65" s="31"/>
      <c r="G65" s="31"/>
      <c r="H65" s="31"/>
      <c r="I65" s="31"/>
      <c r="J65" s="31"/>
    </row>
    <row r="66" spans="2:10" x14ac:dyDescent="0.25">
      <c r="B66" s="31"/>
      <c r="C66" s="31"/>
      <c r="D66" s="31"/>
      <c r="E66" s="31"/>
      <c r="F66" s="31"/>
      <c r="G66" s="31"/>
      <c r="H66" s="31"/>
      <c r="I66" s="31"/>
      <c r="J66" s="31"/>
    </row>
    <row r="67" spans="2:10" x14ac:dyDescent="0.25">
      <c r="B67" s="31"/>
      <c r="C67" s="31"/>
      <c r="D67" s="31"/>
      <c r="E67" s="31"/>
      <c r="F67" s="31"/>
      <c r="G67" s="31"/>
      <c r="H67" s="31"/>
      <c r="I67" s="31"/>
      <c r="J67" s="31"/>
    </row>
    <row r="68" spans="2:10" x14ac:dyDescent="0.25">
      <c r="B68" s="31"/>
      <c r="C68" s="31"/>
      <c r="D68" s="31"/>
      <c r="E68" s="31"/>
      <c r="F68" s="31"/>
      <c r="G68" s="31"/>
      <c r="H68" s="31"/>
      <c r="I68" s="31"/>
      <c r="J68" s="31"/>
    </row>
    <row r="69" spans="2:10" x14ac:dyDescent="0.25">
      <c r="B69" s="31"/>
      <c r="C69" s="31"/>
      <c r="D69" s="31"/>
      <c r="E69" s="31"/>
      <c r="F69" s="31"/>
      <c r="G69" s="31"/>
      <c r="H69" s="31"/>
      <c r="I69" s="31"/>
      <c r="J69" s="31"/>
    </row>
    <row r="70" spans="2:10" x14ac:dyDescent="0.25">
      <c r="B70" s="31"/>
      <c r="C70" s="31"/>
      <c r="D70" s="31"/>
      <c r="E70" s="31"/>
      <c r="F70" s="31"/>
      <c r="G70" s="31"/>
      <c r="H70" s="31"/>
      <c r="I70" s="31"/>
      <c r="J70" s="31"/>
    </row>
    <row r="71" spans="2:10" x14ac:dyDescent="0.25">
      <c r="B71" s="31"/>
      <c r="C71" s="31"/>
      <c r="D71" s="31"/>
      <c r="E71" s="31"/>
      <c r="F71" s="31"/>
      <c r="G71" s="31"/>
      <c r="H71" s="31"/>
      <c r="I71" s="31"/>
      <c r="J71" s="31"/>
    </row>
    <row r="72" spans="2:10" x14ac:dyDescent="0.25">
      <c r="B72" s="31"/>
      <c r="C72" s="31"/>
      <c r="D72" s="31"/>
      <c r="E72" s="31"/>
      <c r="F72" s="31"/>
      <c r="G72" s="31"/>
      <c r="H72" s="31"/>
      <c r="I72" s="31"/>
      <c r="J72" s="31"/>
    </row>
    <row r="73" spans="2:10" x14ac:dyDescent="0.25">
      <c r="B73" s="31"/>
      <c r="C73" s="31"/>
      <c r="D73" s="31"/>
      <c r="E73" s="31"/>
      <c r="F73" s="31"/>
      <c r="G73" s="31"/>
      <c r="H73" s="31"/>
      <c r="I73" s="31"/>
      <c r="J73" s="31"/>
    </row>
    <row r="74" spans="2:10" x14ac:dyDescent="0.25">
      <c r="B74" s="31"/>
      <c r="C74" s="31"/>
      <c r="D74" s="31"/>
      <c r="E74" s="31"/>
      <c r="F74" s="31"/>
      <c r="G74" s="31"/>
      <c r="H74" s="31"/>
      <c r="I74" s="31"/>
      <c r="J74" s="31"/>
    </row>
    <row r="75" spans="2:10" x14ac:dyDescent="0.25">
      <c r="B75" s="31"/>
      <c r="C75" s="31"/>
      <c r="D75" s="31"/>
      <c r="E75" s="31"/>
      <c r="F75" s="31"/>
      <c r="G75" s="31"/>
      <c r="H75" s="31"/>
      <c r="I75" s="31"/>
      <c r="J75" s="31"/>
    </row>
    <row r="76" spans="2:10" x14ac:dyDescent="0.25">
      <c r="B76" s="31"/>
      <c r="C76" s="31"/>
      <c r="D76" s="31"/>
      <c r="E76" s="31"/>
      <c r="F76" s="31"/>
      <c r="G76" s="31"/>
      <c r="H76" s="31"/>
      <c r="I76" s="31"/>
      <c r="J76" s="31"/>
    </row>
    <row r="77" spans="2:10" x14ac:dyDescent="0.25">
      <c r="B77" s="31"/>
      <c r="C77" s="31"/>
      <c r="D77" s="31"/>
      <c r="E77" s="31"/>
      <c r="F77" s="31"/>
      <c r="G77" s="31"/>
      <c r="H77" s="31"/>
      <c r="I77" s="31"/>
      <c r="J77" s="31"/>
    </row>
    <row r="78" spans="2:10" x14ac:dyDescent="0.25">
      <c r="B78" s="31"/>
      <c r="C78" s="31"/>
      <c r="D78" s="31"/>
      <c r="E78" s="31"/>
      <c r="F78" s="31"/>
      <c r="G78" s="31"/>
      <c r="H78" s="31"/>
      <c r="I78" s="31"/>
      <c r="J78" s="31"/>
    </row>
    <row r="79" spans="2:10" x14ac:dyDescent="0.25">
      <c r="B79" s="31"/>
      <c r="C79" s="31"/>
      <c r="D79" s="31"/>
      <c r="E79" s="31"/>
      <c r="F79" s="31"/>
      <c r="G79" s="31"/>
      <c r="H79" s="31"/>
      <c r="I79" s="31"/>
      <c r="J79" s="31"/>
    </row>
    <row r="80" spans="2:10" x14ac:dyDescent="0.25">
      <c r="B80" s="31"/>
      <c r="C80" s="31"/>
      <c r="D80" s="31"/>
      <c r="E80" s="31"/>
      <c r="F80" s="31"/>
      <c r="G80" s="31"/>
      <c r="H80" s="31"/>
      <c r="I80" s="31"/>
      <c r="J80" s="31"/>
    </row>
    <row r="81" spans="2:10" x14ac:dyDescent="0.25">
      <c r="B81" s="31"/>
      <c r="C81" s="31"/>
      <c r="D81" s="31"/>
      <c r="E81" s="31"/>
      <c r="F81" s="31"/>
      <c r="G81" s="31"/>
      <c r="H81" s="31"/>
      <c r="I81" s="31"/>
      <c r="J81" s="31"/>
    </row>
    <row r="82" spans="2:10" x14ac:dyDescent="0.25">
      <c r="B82" s="31"/>
      <c r="C82" s="31"/>
      <c r="D82" s="31"/>
      <c r="E82" s="31"/>
      <c r="F82" s="31"/>
      <c r="G82" s="31"/>
      <c r="H82" s="31"/>
      <c r="I82" s="31"/>
      <c r="J82" s="31"/>
    </row>
    <row r="83" spans="2:10" x14ac:dyDescent="0.25">
      <c r="B83" s="31"/>
      <c r="C83" s="31"/>
      <c r="D83" s="31"/>
      <c r="E83" s="31"/>
      <c r="F83" s="31"/>
      <c r="G83" s="31"/>
      <c r="H83" s="31"/>
      <c r="I83" s="31"/>
      <c r="J83" s="31"/>
    </row>
    <row r="84" spans="2:10" x14ac:dyDescent="0.25">
      <c r="B84" s="31"/>
      <c r="C84" s="31"/>
      <c r="D84" s="31"/>
      <c r="E84" s="31"/>
      <c r="F84" s="31"/>
      <c r="G84" s="31"/>
      <c r="H84" s="31"/>
      <c r="I84" s="31"/>
      <c r="J84" s="31"/>
    </row>
    <row r="85" spans="2:10" x14ac:dyDescent="0.25">
      <c r="B85" s="31"/>
      <c r="C85" s="31"/>
      <c r="D85" s="31"/>
      <c r="E85" s="31"/>
      <c r="F85" s="31"/>
      <c r="G85" s="31"/>
      <c r="H85" s="31"/>
      <c r="I85" s="31"/>
      <c r="J85" s="31"/>
    </row>
    <row r="86" spans="2:10" x14ac:dyDescent="0.25">
      <c r="B86" s="31"/>
      <c r="C86" s="31"/>
      <c r="D86" s="31"/>
      <c r="E86" s="31"/>
      <c r="F86" s="31"/>
      <c r="G86" s="31"/>
      <c r="H86" s="31"/>
      <c r="I86" s="31"/>
      <c r="J86" s="31"/>
    </row>
    <row r="87" spans="2:10" x14ac:dyDescent="0.25">
      <c r="B87" s="31"/>
      <c r="C87" s="31"/>
      <c r="D87" s="31"/>
      <c r="E87" s="31"/>
      <c r="F87" s="31"/>
      <c r="G87" s="31"/>
      <c r="H87" s="31"/>
      <c r="I87" s="31"/>
      <c r="J87" s="31"/>
    </row>
    <row r="88" spans="2:10" x14ac:dyDescent="0.25">
      <c r="B88" s="31"/>
      <c r="C88" s="31"/>
      <c r="D88" s="31"/>
      <c r="E88" s="31"/>
      <c r="F88" s="31"/>
      <c r="G88" s="31"/>
      <c r="H88" s="31"/>
      <c r="I88" s="31"/>
      <c r="J88" s="31"/>
    </row>
    <row r="89" spans="2:10" x14ac:dyDescent="0.25">
      <c r="B89" s="31"/>
      <c r="C89" s="31"/>
      <c r="D89" s="31"/>
      <c r="E89" s="31"/>
      <c r="F89" s="31"/>
      <c r="G89" s="31"/>
      <c r="H89" s="31"/>
      <c r="I89" s="31"/>
      <c r="J89" s="31"/>
    </row>
    <row r="90" spans="2:10" x14ac:dyDescent="0.25">
      <c r="B90" s="31"/>
      <c r="C90" s="31"/>
      <c r="D90" s="31"/>
      <c r="E90" s="31"/>
      <c r="F90" s="31"/>
      <c r="G90" s="31"/>
      <c r="H90" s="31"/>
      <c r="I90" s="31"/>
      <c r="J90" s="31"/>
    </row>
    <row r="91" spans="2:10" x14ac:dyDescent="0.25">
      <c r="B91" s="31"/>
      <c r="C91" s="31"/>
      <c r="D91" s="31"/>
      <c r="E91" s="31"/>
      <c r="F91" s="31"/>
      <c r="G91" s="31"/>
      <c r="H91" s="31"/>
      <c r="I91" s="31"/>
      <c r="J91" s="31"/>
    </row>
    <row r="92" spans="2:10" x14ac:dyDescent="0.25">
      <c r="B92" s="31"/>
      <c r="C92" s="31"/>
      <c r="D92" s="31"/>
      <c r="E92" s="31"/>
      <c r="F92" s="31"/>
      <c r="G92" s="31"/>
      <c r="H92" s="31"/>
      <c r="I92" s="31"/>
      <c r="J92" s="31"/>
    </row>
    <row r="93" spans="2:10" x14ac:dyDescent="0.25">
      <c r="B93" s="31"/>
      <c r="C93" s="31"/>
      <c r="D93" s="31"/>
      <c r="E93" s="31"/>
      <c r="F93" s="31"/>
      <c r="G93" s="31"/>
      <c r="H93" s="31"/>
      <c r="I93" s="31"/>
      <c r="J93" s="31"/>
    </row>
    <row r="94" spans="2:10" x14ac:dyDescent="0.25">
      <c r="B94" s="31"/>
      <c r="C94" s="31"/>
      <c r="D94" s="31"/>
      <c r="E94" s="31"/>
      <c r="F94" s="31"/>
      <c r="G94" s="31"/>
      <c r="H94" s="31"/>
      <c r="I94" s="31"/>
      <c r="J94" s="31"/>
    </row>
    <row r="95" spans="2:10" x14ac:dyDescent="0.25">
      <c r="B95" s="31"/>
      <c r="C95" s="31"/>
      <c r="D95" s="31"/>
      <c r="E95" s="31"/>
      <c r="F95" s="31"/>
      <c r="G95" s="31"/>
      <c r="H95" s="31"/>
      <c r="I95" s="31"/>
      <c r="J95" s="31"/>
    </row>
    <row r="96" spans="2:10" x14ac:dyDescent="0.25">
      <c r="B96" s="31"/>
      <c r="C96" s="31"/>
      <c r="D96" s="31"/>
      <c r="E96" s="31"/>
      <c r="F96" s="31"/>
      <c r="G96" s="31"/>
      <c r="H96" s="31"/>
      <c r="I96" s="31"/>
      <c r="J96" s="31"/>
    </row>
    <row r="97" spans="2:10" x14ac:dyDescent="0.25">
      <c r="B97" s="31"/>
      <c r="C97" s="31"/>
      <c r="D97" s="31"/>
      <c r="E97" s="31"/>
      <c r="F97" s="31"/>
      <c r="G97" s="31"/>
      <c r="H97" s="31"/>
      <c r="I97" s="31"/>
      <c r="J97" s="31"/>
    </row>
    <row r="98" spans="2:10" x14ac:dyDescent="0.25">
      <c r="B98" s="31"/>
      <c r="C98" s="31"/>
      <c r="D98" s="31"/>
      <c r="E98" s="31"/>
      <c r="F98" s="31"/>
      <c r="G98" s="31"/>
      <c r="H98" s="31"/>
      <c r="I98" s="31"/>
      <c r="J98" s="31"/>
    </row>
    <row r="99" spans="2:10" x14ac:dyDescent="0.25">
      <c r="B99" s="31"/>
      <c r="C99" s="31"/>
      <c r="D99" s="31"/>
      <c r="E99" s="31"/>
      <c r="F99" s="31"/>
      <c r="G99" s="31"/>
      <c r="H99" s="31"/>
      <c r="I99" s="31"/>
      <c r="J99" s="31"/>
    </row>
    <row r="100" spans="2:10" x14ac:dyDescent="0.25">
      <c r="B100" s="31"/>
      <c r="C100" s="31"/>
      <c r="D100" s="31"/>
      <c r="E100" s="31"/>
      <c r="F100" s="31"/>
      <c r="G100" s="31"/>
      <c r="H100" s="31"/>
      <c r="I100" s="31"/>
      <c r="J100" s="31"/>
    </row>
    <row r="101" spans="2:10" x14ac:dyDescent="0.25">
      <c r="B101" s="31"/>
      <c r="C101" s="31"/>
      <c r="D101" s="31"/>
      <c r="E101" s="31"/>
      <c r="F101" s="31"/>
      <c r="G101" s="31"/>
      <c r="H101" s="31"/>
      <c r="I101" s="31"/>
      <c r="J101" s="31"/>
    </row>
    <row r="102" spans="2:10" x14ac:dyDescent="0.25">
      <c r="B102" s="31"/>
      <c r="C102" s="31"/>
      <c r="D102" s="31"/>
      <c r="E102" s="31"/>
      <c r="F102" s="31"/>
      <c r="G102" s="31"/>
      <c r="H102" s="31"/>
      <c r="I102" s="31"/>
      <c r="J102" s="31"/>
    </row>
    <row r="103" spans="2:10" x14ac:dyDescent="0.25">
      <c r="B103" s="31"/>
      <c r="C103" s="31"/>
      <c r="D103" s="31"/>
      <c r="E103" s="31"/>
      <c r="F103" s="31"/>
      <c r="G103" s="31"/>
      <c r="H103" s="31"/>
      <c r="I103" s="31"/>
      <c r="J103" s="31"/>
    </row>
    <row r="104" spans="2:10" x14ac:dyDescent="0.25">
      <c r="B104" s="31"/>
      <c r="C104" s="31"/>
      <c r="D104" s="31"/>
      <c r="E104" s="31"/>
      <c r="F104" s="31"/>
      <c r="G104" s="31"/>
      <c r="H104" s="31"/>
      <c r="I104" s="31"/>
      <c r="J104" s="31"/>
    </row>
    <row r="105" spans="2:10" x14ac:dyDescent="0.25">
      <c r="B105" s="31"/>
      <c r="C105" s="31"/>
      <c r="D105" s="31"/>
      <c r="E105" s="31"/>
      <c r="F105" s="31"/>
      <c r="G105" s="31"/>
      <c r="H105" s="31"/>
      <c r="I105" s="31"/>
      <c r="J105" s="31"/>
    </row>
    <row r="106" spans="2:10" x14ac:dyDescent="0.25">
      <c r="B106" s="31"/>
      <c r="C106" s="31"/>
      <c r="D106" s="31"/>
      <c r="E106" s="31"/>
      <c r="F106" s="31"/>
      <c r="G106" s="31"/>
      <c r="H106" s="31"/>
      <c r="I106" s="31"/>
      <c r="J106" s="31"/>
    </row>
    <row r="107" spans="2:10" x14ac:dyDescent="0.25">
      <c r="B107" s="31"/>
      <c r="C107" s="31"/>
      <c r="D107" s="31"/>
      <c r="E107" s="31"/>
      <c r="F107" s="31"/>
      <c r="G107" s="31"/>
      <c r="H107" s="31"/>
      <c r="I107" s="31"/>
      <c r="J107" s="31"/>
    </row>
    <row r="108" spans="2:10" x14ac:dyDescent="0.25">
      <c r="B108" s="31"/>
      <c r="C108" s="31"/>
      <c r="D108" s="31"/>
      <c r="E108" s="31"/>
      <c r="F108" s="31"/>
      <c r="G108" s="31"/>
      <c r="H108" s="31"/>
      <c r="I108" s="31"/>
      <c r="J108" s="31"/>
    </row>
    <row r="109" spans="2:10" x14ac:dyDescent="0.25">
      <c r="B109" s="31"/>
      <c r="C109" s="31"/>
      <c r="D109" s="31"/>
      <c r="E109" s="31"/>
      <c r="F109" s="31"/>
      <c r="G109" s="31"/>
      <c r="H109" s="31"/>
      <c r="I109" s="31"/>
      <c r="J109" s="31"/>
    </row>
    <row r="110" spans="2:10" x14ac:dyDescent="0.25">
      <c r="B110" s="31"/>
      <c r="C110" s="31"/>
      <c r="D110" s="31"/>
      <c r="E110" s="31"/>
      <c r="F110" s="31"/>
      <c r="G110" s="31"/>
      <c r="H110" s="31"/>
      <c r="I110" s="31"/>
      <c r="J110" s="31"/>
    </row>
    <row r="111" spans="2:10" x14ac:dyDescent="0.25">
      <c r="B111" s="31"/>
      <c r="C111" s="31"/>
      <c r="D111" s="31"/>
      <c r="E111" s="31"/>
      <c r="F111" s="31"/>
      <c r="G111" s="31"/>
      <c r="H111" s="31"/>
      <c r="I111" s="31"/>
      <c r="J111" s="31"/>
    </row>
    <row r="112" spans="2:10" x14ac:dyDescent="0.25">
      <c r="B112" s="31"/>
      <c r="C112" s="31"/>
      <c r="D112" s="31"/>
      <c r="E112" s="31"/>
      <c r="F112" s="31"/>
      <c r="G112" s="31"/>
      <c r="H112" s="31"/>
      <c r="I112" s="31"/>
      <c r="J112" s="31"/>
    </row>
    <row r="113" spans="2:10" x14ac:dyDescent="0.25">
      <c r="B113" s="31"/>
      <c r="C113" s="31"/>
      <c r="D113" s="31"/>
      <c r="E113" s="31"/>
      <c r="F113" s="31"/>
      <c r="G113" s="31"/>
      <c r="H113" s="31"/>
      <c r="I113" s="31"/>
      <c r="J113" s="31"/>
    </row>
    <row r="114" spans="2:10" x14ac:dyDescent="0.25">
      <c r="B114" s="31"/>
      <c r="C114" s="31"/>
      <c r="D114" s="31"/>
      <c r="E114" s="31"/>
      <c r="F114" s="31"/>
      <c r="G114" s="31"/>
      <c r="H114" s="31"/>
      <c r="I114" s="31"/>
      <c r="J114" s="31"/>
    </row>
    <row r="115" spans="2:10" x14ac:dyDescent="0.25">
      <c r="B115" s="31"/>
      <c r="C115" s="31"/>
      <c r="D115" s="31"/>
      <c r="E115" s="31"/>
      <c r="F115" s="31"/>
      <c r="G115" s="31"/>
      <c r="H115" s="31"/>
      <c r="I115" s="31"/>
      <c r="J115" s="31"/>
    </row>
    <row r="116" spans="2:10" x14ac:dyDescent="0.25">
      <c r="B116" s="31"/>
      <c r="C116" s="31"/>
      <c r="D116" s="31"/>
      <c r="E116" s="31"/>
      <c r="F116" s="31"/>
      <c r="G116" s="31"/>
      <c r="H116" s="31"/>
      <c r="I116" s="31"/>
      <c r="J116" s="31"/>
    </row>
    <row r="117" spans="2:10" x14ac:dyDescent="0.25">
      <c r="B117" s="31"/>
      <c r="C117" s="31"/>
      <c r="D117" s="31"/>
      <c r="E117" s="31"/>
      <c r="F117" s="31"/>
      <c r="G117" s="31"/>
      <c r="H117" s="31"/>
      <c r="I117" s="31"/>
      <c r="J117" s="31"/>
    </row>
    <row r="118" spans="2:10" x14ac:dyDescent="0.25">
      <c r="B118" s="31"/>
      <c r="C118" s="31"/>
      <c r="D118" s="31"/>
      <c r="E118" s="31"/>
      <c r="F118" s="31"/>
      <c r="G118" s="31"/>
      <c r="H118" s="31"/>
      <c r="I118" s="31"/>
      <c r="J118" s="31"/>
    </row>
    <row r="119" spans="2:10" x14ac:dyDescent="0.25">
      <c r="B119" s="31"/>
      <c r="C119" s="31"/>
      <c r="D119" s="31"/>
      <c r="E119" s="31"/>
      <c r="F119" s="31"/>
      <c r="G119" s="31"/>
      <c r="H119" s="31"/>
      <c r="I119" s="31"/>
      <c r="J119" s="31"/>
    </row>
    <row r="120" spans="2:10" x14ac:dyDescent="0.25">
      <c r="B120" s="31"/>
      <c r="C120" s="31"/>
      <c r="D120" s="31"/>
      <c r="E120" s="31"/>
      <c r="F120" s="31"/>
      <c r="G120" s="31"/>
      <c r="H120" s="31"/>
      <c r="I120" s="31"/>
      <c r="J120" s="31"/>
    </row>
    <row r="121" spans="2:10" x14ac:dyDescent="0.25">
      <c r="B121" s="31"/>
      <c r="C121" s="31"/>
      <c r="D121" s="31"/>
      <c r="E121" s="31"/>
      <c r="F121" s="31"/>
      <c r="G121" s="31"/>
      <c r="H121" s="31"/>
      <c r="I121" s="31"/>
      <c r="J121" s="31"/>
    </row>
    <row r="122" spans="2:10" x14ac:dyDescent="0.25">
      <c r="B122" s="31"/>
      <c r="C122" s="31"/>
      <c r="D122" s="31"/>
      <c r="E122" s="31"/>
      <c r="F122" s="31"/>
      <c r="G122" s="31"/>
      <c r="H122" s="31"/>
      <c r="I122" s="31"/>
      <c r="J122" s="31"/>
    </row>
    <row r="123" spans="2:10" x14ac:dyDescent="0.25">
      <c r="B123" s="31"/>
      <c r="C123" s="31"/>
      <c r="D123" s="31"/>
      <c r="E123" s="31"/>
      <c r="F123" s="31"/>
      <c r="G123" s="31"/>
      <c r="H123" s="31"/>
      <c r="I123" s="31"/>
      <c r="J123" s="31"/>
    </row>
    <row r="124" spans="2:10" x14ac:dyDescent="0.25">
      <c r="B124" s="31"/>
      <c r="C124" s="31"/>
      <c r="D124" s="31"/>
      <c r="E124" s="31"/>
      <c r="F124" s="31"/>
      <c r="G124" s="31"/>
      <c r="H124" s="31"/>
      <c r="I124" s="31"/>
      <c r="J124" s="31"/>
    </row>
    <row r="125" spans="2:10" x14ac:dyDescent="0.25">
      <c r="B125" s="31"/>
      <c r="C125" s="31"/>
      <c r="D125" s="31"/>
      <c r="E125" s="31"/>
      <c r="F125" s="31"/>
      <c r="G125" s="31"/>
      <c r="H125" s="31"/>
      <c r="I125" s="31"/>
      <c r="J125" s="31"/>
    </row>
    <row r="126" spans="2:10" x14ac:dyDescent="0.25">
      <c r="B126" s="31"/>
      <c r="C126" s="31"/>
      <c r="D126" s="31"/>
      <c r="E126" s="31"/>
      <c r="F126" s="31"/>
      <c r="G126" s="31"/>
      <c r="H126" s="31"/>
      <c r="I126" s="31"/>
      <c r="J126" s="31"/>
    </row>
    <row r="127" spans="2:10" x14ac:dyDescent="0.25">
      <c r="B127" s="31"/>
      <c r="C127" s="31"/>
      <c r="D127" s="31"/>
      <c r="E127" s="31"/>
      <c r="F127" s="31"/>
      <c r="G127" s="31"/>
      <c r="H127" s="31"/>
      <c r="I127" s="31"/>
      <c r="J127" s="31"/>
    </row>
    <row r="128" spans="2:10" x14ac:dyDescent="0.25">
      <c r="B128" s="31"/>
      <c r="C128" s="31"/>
      <c r="D128" s="31"/>
      <c r="E128" s="31"/>
      <c r="F128" s="31"/>
      <c r="G128" s="31"/>
      <c r="H128" s="31"/>
      <c r="I128" s="31"/>
      <c r="J128" s="31"/>
    </row>
    <row r="129" spans="2:10" x14ac:dyDescent="0.25">
      <c r="B129" s="31"/>
      <c r="C129" s="31"/>
      <c r="D129" s="31"/>
      <c r="E129" s="31"/>
      <c r="F129" s="31"/>
      <c r="G129" s="31"/>
      <c r="H129" s="31"/>
      <c r="I129" s="31"/>
      <c r="J129" s="31"/>
    </row>
    <row r="130" spans="2:10" x14ac:dyDescent="0.25">
      <c r="B130" s="31"/>
      <c r="C130" s="31"/>
      <c r="D130" s="31"/>
      <c r="E130" s="31"/>
      <c r="F130" s="31"/>
      <c r="G130" s="31"/>
      <c r="H130" s="31"/>
      <c r="I130" s="31"/>
      <c r="J130" s="31"/>
    </row>
    <row r="131" spans="2:10" x14ac:dyDescent="0.25">
      <c r="B131" s="31"/>
      <c r="C131" s="31"/>
      <c r="D131" s="31"/>
      <c r="E131" s="31"/>
      <c r="F131" s="31"/>
      <c r="G131" s="31"/>
      <c r="H131" s="31"/>
      <c r="I131" s="31"/>
      <c r="J131" s="31"/>
    </row>
    <row r="132" spans="2:10" x14ac:dyDescent="0.25">
      <c r="B132" s="31"/>
      <c r="C132" s="31"/>
      <c r="D132" s="31"/>
      <c r="E132" s="31"/>
      <c r="F132" s="31"/>
      <c r="G132" s="31"/>
      <c r="H132" s="31"/>
      <c r="I132" s="31"/>
      <c r="J132" s="31"/>
    </row>
    <row r="133" spans="2:10" x14ac:dyDescent="0.25">
      <c r="B133" s="31"/>
      <c r="C133" s="31"/>
      <c r="D133" s="31"/>
      <c r="E133" s="31"/>
      <c r="F133" s="31"/>
      <c r="G133" s="31"/>
      <c r="H133" s="31"/>
      <c r="I133" s="31"/>
      <c r="J133" s="31"/>
    </row>
    <row r="134" spans="2:10" x14ac:dyDescent="0.25">
      <c r="B134" s="31"/>
      <c r="C134" s="31"/>
      <c r="D134" s="31"/>
      <c r="E134" s="31"/>
      <c r="F134" s="31"/>
      <c r="G134" s="31"/>
      <c r="H134" s="31"/>
      <c r="I134" s="31"/>
      <c r="J134" s="31"/>
    </row>
    <row r="135" spans="2:10" x14ac:dyDescent="0.25">
      <c r="B135" s="31"/>
      <c r="C135" s="31"/>
      <c r="D135" s="31"/>
      <c r="E135" s="31"/>
      <c r="F135" s="31"/>
      <c r="G135" s="31"/>
      <c r="H135" s="31"/>
      <c r="I135" s="31"/>
      <c r="J135" s="31"/>
    </row>
    <row r="136" spans="2:10" x14ac:dyDescent="0.25">
      <c r="B136" s="31"/>
      <c r="C136" s="31"/>
      <c r="D136" s="31"/>
      <c r="E136" s="31"/>
      <c r="F136" s="31"/>
      <c r="G136" s="31"/>
      <c r="H136" s="31"/>
      <c r="I136" s="31"/>
      <c r="J136" s="31"/>
    </row>
    <row r="137" spans="2:10" x14ac:dyDescent="0.25">
      <c r="B137" s="31"/>
      <c r="C137" s="31"/>
      <c r="D137" s="31"/>
      <c r="E137" s="31"/>
      <c r="F137" s="31"/>
      <c r="G137" s="31"/>
      <c r="H137" s="31"/>
      <c r="I137" s="31"/>
      <c r="J137" s="31"/>
    </row>
    <row r="138" spans="2:10" x14ac:dyDescent="0.25">
      <c r="B138" s="31"/>
      <c r="C138" s="31"/>
      <c r="D138" s="31"/>
      <c r="E138" s="31"/>
      <c r="F138" s="31"/>
      <c r="G138" s="31"/>
      <c r="H138" s="31"/>
      <c r="I138" s="31"/>
      <c r="J138" s="31"/>
    </row>
    <row r="139" spans="2:10" x14ac:dyDescent="0.25">
      <c r="B139" s="31"/>
      <c r="C139" s="31"/>
      <c r="D139" s="31"/>
      <c r="E139" s="31"/>
      <c r="F139" s="31"/>
      <c r="G139" s="31"/>
      <c r="H139" s="31"/>
      <c r="I139" s="31"/>
      <c r="J139" s="31"/>
    </row>
    <row r="140" spans="2:10" x14ac:dyDescent="0.25">
      <c r="B140" s="31"/>
      <c r="C140" s="31"/>
      <c r="D140" s="31"/>
      <c r="E140" s="31"/>
      <c r="F140" s="31"/>
      <c r="G140" s="31"/>
      <c r="H140" s="31"/>
      <c r="I140" s="31"/>
      <c r="J140" s="31"/>
    </row>
    <row r="141" spans="2:10" x14ac:dyDescent="0.25">
      <c r="B141" s="31"/>
      <c r="C141" s="31"/>
      <c r="D141" s="31"/>
      <c r="E141" s="31"/>
      <c r="F141" s="31"/>
      <c r="G141" s="31"/>
      <c r="H141" s="31"/>
      <c r="I141" s="31"/>
      <c r="J141" s="31"/>
    </row>
    <row r="142" spans="2:10" x14ac:dyDescent="0.25">
      <c r="B142" s="31"/>
      <c r="C142" s="31"/>
      <c r="D142" s="31"/>
      <c r="E142" s="31"/>
      <c r="F142" s="31"/>
      <c r="G142" s="31"/>
      <c r="H142" s="31"/>
      <c r="I142" s="31"/>
      <c r="J142" s="31"/>
    </row>
    <row r="143" spans="2:10" x14ac:dyDescent="0.25">
      <c r="B143" s="31"/>
      <c r="C143" s="31"/>
      <c r="D143" s="31"/>
      <c r="E143" s="31"/>
      <c r="F143" s="31"/>
      <c r="G143" s="31"/>
      <c r="H143" s="31"/>
      <c r="I143" s="31"/>
      <c r="J143" s="31"/>
    </row>
    <row r="144" spans="2:10" x14ac:dyDescent="0.25">
      <c r="B144" s="31"/>
      <c r="C144" s="31"/>
      <c r="D144" s="31"/>
      <c r="E144" s="31"/>
      <c r="F144" s="31"/>
      <c r="G144" s="31"/>
      <c r="H144" s="31"/>
      <c r="I144" s="31"/>
      <c r="J144" s="31"/>
    </row>
    <row r="145" spans="2:10" x14ac:dyDescent="0.25">
      <c r="B145" s="31"/>
      <c r="C145" s="31"/>
      <c r="D145" s="31"/>
      <c r="E145" s="31"/>
      <c r="F145" s="31"/>
      <c r="G145" s="31"/>
      <c r="H145" s="31"/>
      <c r="I145" s="31"/>
      <c r="J145" s="31"/>
    </row>
    <row r="146" spans="2:10" x14ac:dyDescent="0.25">
      <c r="B146" s="31"/>
      <c r="C146" s="31"/>
      <c r="D146" s="31"/>
      <c r="E146" s="31"/>
      <c r="F146" s="31"/>
      <c r="G146" s="31"/>
      <c r="H146" s="31"/>
      <c r="I146" s="31"/>
      <c r="J146" s="31"/>
    </row>
    <row r="147" spans="2:10" x14ac:dyDescent="0.25">
      <c r="B147" s="31"/>
      <c r="C147" s="31"/>
      <c r="D147" s="31"/>
      <c r="E147" s="31"/>
      <c r="F147" s="31"/>
      <c r="G147" s="31"/>
      <c r="H147" s="31"/>
      <c r="I147" s="31"/>
      <c r="J147" s="31"/>
    </row>
    <row r="148" spans="2:10" x14ac:dyDescent="0.25">
      <c r="B148" s="31"/>
      <c r="C148" s="31"/>
      <c r="D148" s="31"/>
      <c r="E148" s="31"/>
      <c r="F148" s="31"/>
      <c r="G148" s="31"/>
      <c r="H148" s="31"/>
      <c r="I148" s="31"/>
      <c r="J148" s="31"/>
    </row>
    <row r="149" spans="2:10" x14ac:dyDescent="0.25">
      <c r="B149" s="31"/>
      <c r="C149" s="31"/>
      <c r="D149" s="31"/>
      <c r="E149" s="31"/>
      <c r="F149" s="31"/>
      <c r="G149" s="31"/>
      <c r="H149" s="31"/>
      <c r="I149" s="31"/>
      <c r="J149" s="31"/>
    </row>
    <row r="150" spans="2:10" x14ac:dyDescent="0.25">
      <c r="B150" s="31"/>
      <c r="C150" s="31"/>
      <c r="D150" s="31"/>
      <c r="E150" s="31"/>
      <c r="F150" s="31"/>
      <c r="G150" s="31"/>
      <c r="H150" s="31"/>
      <c r="I150" s="31"/>
      <c r="J150" s="31"/>
    </row>
    <row r="151" spans="2:10" x14ac:dyDescent="0.25">
      <c r="B151" s="31"/>
      <c r="C151" s="31"/>
      <c r="D151" s="31"/>
      <c r="E151" s="31"/>
      <c r="F151" s="31"/>
      <c r="G151" s="31"/>
      <c r="H151" s="31"/>
      <c r="I151" s="31"/>
      <c r="J151" s="31"/>
    </row>
    <row r="152" spans="2:10" x14ac:dyDescent="0.25">
      <c r="B152" s="31"/>
      <c r="C152" s="31"/>
      <c r="D152" s="31"/>
      <c r="E152" s="31"/>
      <c r="F152" s="31"/>
      <c r="G152" s="31"/>
      <c r="H152" s="31"/>
      <c r="I152" s="31"/>
      <c r="J152" s="31"/>
    </row>
    <row r="153" spans="2:10" x14ac:dyDescent="0.25">
      <c r="B153" s="31"/>
      <c r="C153" s="31"/>
      <c r="D153" s="31"/>
      <c r="E153" s="31"/>
      <c r="F153" s="31"/>
      <c r="G153" s="31"/>
      <c r="H153" s="31"/>
      <c r="I153" s="31"/>
      <c r="J153" s="31"/>
    </row>
    <row r="154" spans="2:10" x14ac:dyDescent="0.25">
      <c r="B154" s="31"/>
      <c r="C154" s="31"/>
      <c r="D154" s="31"/>
      <c r="E154" s="31"/>
      <c r="F154" s="31"/>
      <c r="G154" s="31"/>
      <c r="H154" s="31"/>
      <c r="I154" s="31"/>
      <c r="J154" s="31"/>
    </row>
    <row r="155" spans="2:10" x14ac:dyDescent="0.25">
      <c r="B155" s="31"/>
      <c r="C155" s="31"/>
      <c r="D155" s="31"/>
      <c r="E155" s="31"/>
      <c r="F155" s="31"/>
      <c r="G155" s="31"/>
      <c r="H155" s="31"/>
      <c r="I155" s="31"/>
      <c r="J155" s="31"/>
    </row>
    <row r="156" spans="2:10" x14ac:dyDescent="0.25">
      <c r="B156" s="31"/>
      <c r="C156" s="31"/>
      <c r="D156" s="31"/>
      <c r="E156" s="31"/>
      <c r="F156" s="31"/>
      <c r="G156" s="31"/>
      <c r="H156" s="31"/>
      <c r="I156" s="31"/>
      <c r="J156" s="31"/>
    </row>
    <row r="157" spans="2:10" x14ac:dyDescent="0.25">
      <c r="B157" s="31"/>
      <c r="C157" s="31"/>
      <c r="D157" s="31"/>
      <c r="E157" s="31"/>
      <c r="F157" s="31"/>
      <c r="G157" s="31"/>
      <c r="H157" s="31"/>
      <c r="I157" s="31"/>
      <c r="J157" s="31"/>
    </row>
    <row r="158" spans="2:10" x14ac:dyDescent="0.25">
      <c r="B158" s="31"/>
      <c r="C158" s="31"/>
      <c r="D158" s="31"/>
      <c r="E158" s="31"/>
      <c r="F158" s="31"/>
      <c r="G158" s="31"/>
      <c r="H158" s="31"/>
      <c r="I158" s="31"/>
      <c r="J158" s="31"/>
    </row>
    <row r="159" spans="2:10" x14ac:dyDescent="0.25">
      <c r="B159" s="31"/>
      <c r="C159" s="31"/>
      <c r="D159" s="31"/>
      <c r="E159" s="31"/>
      <c r="F159" s="31"/>
      <c r="G159" s="31"/>
      <c r="H159" s="31"/>
      <c r="I159" s="31"/>
      <c r="J159" s="31"/>
    </row>
    <row r="160" spans="2:10" x14ac:dyDescent="0.25">
      <c r="B160" s="31"/>
      <c r="C160" s="31"/>
      <c r="D160" s="31"/>
      <c r="E160" s="31"/>
      <c r="F160" s="31"/>
      <c r="G160" s="31"/>
      <c r="H160" s="31"/>
      <c r="I160" s="31"/>
      <c r="J160" s="31"/>
    </row>
    <row r="161" spans="2:10" x14ac:dyDescent="0.25">
      <c r="B161" s="31"/>
      <c r="C161" s="31"/>
      <c r="D161" s="31"/>
      <c r="E161" s="31"/>
      <c r="F161" s="31"/>
      <c r="G161" s="31"/>
      <c r="H161" s="31"/>
      <c r="I161" s="31"/>
      <c r="J161" s="31"/>
    </row>
    <row r="162" spans="2:10" x14ac:dyDescent="0.25">
      <c r="B162" s="31"/>
      <c r="C162" s="31"/>
      <c r="D162" s="31"/>
      <c r="E162" s="31"/>
      <c r="F162" s="31"/>
      <c r="G162" s="31"/>
      <c r="H162" s="31"/>
      <c r="I162" s="31"/>
      <c r="J162" s="31"/>
    </row>
  </sheetData>
  <mergeCells count="3">
    <mergeCell ref="A4:A7"/>
    <mergeCell ref="A8:A11"/>
    <mergeCell ref="A12:A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8243-F612-485E-82DF-7FF81E34135A}">
  <dimension ref="A2:Q161"/>
  <sheetViews>
    <sheetView zoomScaleNormal="100" workbookViewId="0"/>
  </sheetViews>
  <sheetFormatPr baseColWidth="10" defaultRowHeight="15" x14ac:dyDescent="0.25"/>
  <cols>
    <col min="1" max="1" width="19.140625" style="1" customWidth="1"/>
    <col min="2" max="6" width="20.42578125" style="1" customWidth="1"/>
    <col min="7" max="8" width="17.85546875" style="1" customWidth="1"/>
    <col min="9" max="12" width="20.28515625" style="1" customWidth="1"/>
    <col min="13" max="15" width="19" style="1" customWidth="1"/>
    <col min="16" max="16384" width="11.42578125" style="1"/>
  </cols>
  <sheetData>
    <row r="2" spans="1:17" ht="54.75" customHeight="1" x14ac:dyDescent="0.25">
      <c r="A2" s="7" t="s">
        <v>16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8</v>
      </c>
      <c r="G2" s="36" t="s">
        <v>9</v>
      </c>
      <c r="H2" s="36" t="s">
        <v>10</v>
      </c>
      <c r="I2" s="36" t="s">
        <v>12</v>
      </c>
      <c r="J2" s="36" t="s">
        <v>11</v>
      </c>
      <c r="K2" s="42" t="s">
        <v>14</v>
      </c>
      <c r="L2" s="43" t="s">
        <v>15</v>
      </c>
      <c r="M2" s="10"/>
      <c r="N2" s="10"/>
      <c r="O2" s="10"/>
    </row>
    <row r="3" spans="1:17" ht="18.75" customHeight="1" x14ac:dyDescent="0.25">
      <c r="A3" s="79" t="s">
        <v>17</v>
      </c>
      <c r="B3" s="2" t="s">
        <v>4</v>
      </c>
      <c r="C3" s="15">
        <v>2.9</v>
      </c>
      <c r="D3" s="15">
        <v>2.42</v>
      </c>
      <c r="E3" s="15">
        <v>0.11</v>
      </c>
      <c r="F3" s="15">
        <v>7.0000000000000007E-2</v>
      </c>
      <c r="G3" s="5"/>
      <c r="H3" s="5"/>
      <c r="I3" s="13"/>
      <c r="J3" s="23"/>
      <c r="K3" s="13"/>
      <c r="L3" s="13"/>
    </row>
    <row r="4" spans="1:17" ht="18.75" customHeight="1" x14ac:dyDescent="0.25">
      <c r="A4" s="80"/>
      <c r="B4" s="4" t="s">
        <v>5</v>
      </c>
      <c r="C4" s="17">
        <v>3.82</v>
      </c>
      <c r="D4" s="17">
        <v>3.26</v>
      </c>
      <c r="E4" s="17">
        <v>0.3</v>
      </c>
      <c r="F4" s="17">
        <v>0.26</v>
      </c>
      <c r="G4" s="5"/>
      <c r="H4" s="5"/>
      <c r="I4" s="13"/>
      <c r="J4" s="23"/>
      <c r="K4" s="13"/>
      <c r="L4" s="13"/>
    </row>
    <row r="5" spans="1:17" ht="18.75" customHeight="1" x14ac:dyDescent="0.25">
      <c r="A5" s="80"/>
      <c r="B5" s="4" t="s">
        <v>6</v>
      </c>
      <c r="C5" s="17">
        <v>2.84</v>
      </c>
      <c r="D5" s="17">
        <v>2.0299999999999998</v>
      </c>
      <c r="E5" s="17">
        <v>0.59</v>
      </c>
      <c r="F5" s="17">
        <v>0.67</v>
      </c>
      <c r="G5" s="5"/>
      <c r="H5" s="5"/>
      <c r="I5" s="13"/>
      <c r="J5" s="23"/>
      <c r="K5" s="13"/>
      <c r="L5" s="13"/>
    </row>
    <row r="6" spans="1:17" ht="18.75" customHeight="1" x14ac:dyDescent="0.25">
      <c r="A6" s="81"/>
      <c r="B6" s="6" t="s">
        <v>7</v>
      </c>
      <c r="C6" s="11">
        <v>3.14</v>
      </c>
      <c r="D6" s="11">
        <v>2.37</v>
      </c>
      <c r="E6" s="11">
        <f>SUM(E3:E5)</f>
        <v>1</v>
      </c>
      <c r="F6" s="11">
        <f>SUM(F3:F5)</f>
        <v>1</v>
      </c>
      <c r="G6" s="13"/>
      <c r="H6" s="13"/>
      <c r="I6" s="25"/>
      <c r="J6" s="25"/>
      <c r="K6" s="25"/>
      <c r="L6" s="25"/>
    </row>
    <row r="7" spans="1:17" ht="18.75" customHeight="1" x14ac:dyDescent="0.25">
      <c r="A7" s="79" t="s">
        <v>18</v>
      </c>
      <c r="B7" s="2" t="s">
        <v>4</v>
      </c>
      <c r="C7" s="15">
        <v>2.89</v>
      </c>
      <c r="D7" s="15">
        <v>2.29</v>
      </c>
      <c r="E7" s="15">
        <v>0.06</v>
      </c>
      <c r="F7" s="15">
        <v>0.01</v>
      </c>
      <c r="G7" s="3">
        <f>AVERAGE(C7:D7)</f>
        <v>2.59</v>
      </c>
      <c r="H7" s="26">
        <f>AVERAGE(E7:F7)</f>
        <v>3.4999999999999996E-2</v>
      </c>
      <c r="I7" s="26">
        <f>C7-D7</f>
        <v>0.60000000000000009</v>
      </c>
      <c r="J7" s="26">
        <f>E7-F7</f>
        <v>4.9999999999999996E-2</v>
      </c>
      <c r="K7" s="3">
        <f>G7*J7</f>
        <v>0.12949999999999998</v>
      </c>
      <c r="L7" s="3">
        <f>H7*I7</f>
        <v>2.1000000000000001E-2</v>
      </c>
      <c r="M7" s="5"/>
      <c r="N7" s="5"/>
      <c r="O7" s="5"/>
      <c r="P7" s="5"/>
      <c r="Q7" s="5"/>
    </row>
    <row r="8" spans="1:17" ht="18.75" customHeight="1" x14ac:dyDescent="0.25">
      <c r="A8" s="80"/>
      <c r="B8" s="4" t="s">
        <v>5</v>
      </c>
      <c r="C8" s="17">
        <v>4.07</v>
      </c>
      <c r="D8" s="17">
        <v>3.43</v>
      </c>
      <c r="E8" s="17">
        <v>0.17</v>
      </c>
      <c r="F8" s="17">
        <v>0.04</v>
      </c>
      <c r="G8" s="5">
        <f t="shared" ref="G8:G9" si="0">AVERAGE(C8:D8)</f>
        <v>3.75</v>
      </c>
      <c r="H8" s="19">
        <f t="shared" ref="H8:H9" si="1">AVERAGE(E8:F8)</f>
        <v>0.10500000000000001</v>
      </c>
      <c r="I8" s="19">
        <f t="shared" ref="I8:I9" si="2">C8-D8</f>
        <v>0.64000000000000012</v>
      </c>
      <c r="J8" s="19">
        <f t="shared" ref="J8:J9" si="3">E8-F8</f>
        <v>0.13</v>
      </c>
      <c r="K8" s="5">
        <f t="shared" ref="K8:K9" si="4">G8*J8</f>
        <v>0.48750000000000004</v>
      </c>
      <c r="L8" s="5">
        <f t="shared" ref="L8:L9" si="5">H8*I8</f>
        <v>6.7200000000000024E-2</v>
      </c>
      <c r="M8" s="5"/>
      <c r="N8" s="5"/>
      <c r="O8" s="5"/>
      <c r="P8" s="5"/>
      <c r="Q8" s="5"/>
    </row>
    <row r="9" spans="1:17" ht="18.75" customHeight="1" x14ac:dyDescent="0.25">
      <c r="A9" s="80"/>
      <c r="B9" s="4" t="s">
        <v>6</v>
      </c>
      <c r="C9" s="17">
        <v>3.79</v>
      </c>
      <c r="D9" s="17">
        <v>3.15</v>
      </c>
      <c r="E9" s="17">
        <v>0.24</v>
      </c>
      <c r="F9" s="17">
        <v>0.08</v>
      </c>
      <c r="G9" s="27">
        <f t="shared" si="0"/>
        <v>3.4699999999999998</v>
      </c>
      <c r="H9" s="28">
        <f t="shared" si="1"/>
        <v>0.16</v>
      </c>
      <c r="I9" s="28">
        <f t="shared" si="2"/>
        <v>0.64000000000000012</v>
      </c>
      <c r="J9" s="28">
        <f t="shared" si="3"/>
        <v>0.15999999999999998</v>
      </c>
      <c r="K9" s="27">
        <f t="shared" si="4"/>
        <v>0.55519999999999992</v>
      </c>
      <c r="L9" s="27">
        <f t="shared" si="5"/>
        <v>0.10240000000000002</v>
      </c>
      <c r="M9" s="5"/>
      <c r="N9" s="5"/>
      <c r="O9" s="5"/>
      <c r="P9" s="5"/>
      <c r="Q9" s="5"/>
    </row>
    <row r="10" spans="1:17" ht="18.75" customHeight="1" x14ac:dyDescent="0.25">
      <c r="A10" s="81"/>
      <c r="B10" s="6" t="s">
        <v>7</v>
      </c>
      <c r="C10" s="11">
        <v>3.77</v>
      </c>
      <c r="D10" s="11">
        <v>3.13</v>
      </c>
      <c r="E10" s="11">
        <f>SUM(E7:E9)</f>
        <v>0.47</v>
      </c>
      <c r="F10" s="11">
        <f>SUM(F7:F9)</f>
        <v>0.13</v>
      </c>
      <c r="G10" s="28"/>
      <c r="H10" s="29"/>
      <c r="I10" s="29"/>
      <c r="J10" s="30"/>
      <c r="K10" s="22"/>
      <c r="L10" s="22"/>
      <c r="M10" s="5"/>
      <c r="N10" s="5"/>
      <c r="O10" s="5"/>
      <c r="P10" s="5"/>
      <c r="Q10" s="5"/>
    </row>
    <row r="11" spans="1:17" ht="18.75" customHeight="1" x14ac:dyDescent="0.25">
      <c r="A11" s="79" t="s">
        <v>19</v>
      </c>
      <c r="B11" s="2" t="s">
        <v>4</v>
      </c>
      <c r="C11" s="15">
        <v>2.92</v>
      </c>
      <c r="D11" s="15">
        <v>2.4500000000000002</v>
      </c>
      <c r="E11" s="15">
        <v>0.05</v>
      </c>
      <c r="F11" s="15">
        <v>0.06</v>
      </c>
      <c r="G11" s="3">
        <f>AVERAGE(C11:D11)</f>
        <v>2.6850000000000001</v>
      </c>
      <c r="H11" s="26">
        <f>AVERAGE(E11:F11)</f>
        <v>5.5E-2</v>
      </c>
      <c r="I11" s="26">
        <f>C11-D11</f>
        <v>0.46999999999999975</v>
      </c>
      <c r="J11" s="26">
        <f>E11-F11</f>
        <v>-9.999999999999995E-3</v>
      </c>
      <c r="K11" s="3">
        <f>G11*J11</f>
        <v>-2.6849999999999988E-2</v>
      </c>
      <c r="L11" s="3">
        <f>H11*I11</f>
        <v>2.5849999999999988E-2</v>
      </c>
      <c r="M11" s="5"/>
      <c r="N11" s="5"/>
      <c r="O11" s="5"/>
      <c r="P11" s="5"/>
      <c r="Q11" s="5"/>
    </row>
    <row r="12" spans="1:17" ht="18.75" customHeight="1" x14ac:dyDescent="0.25">
      <c r="A12" s="80"/>
      <c r="B12" s="4" t="s">
        <v>5</v>
      </c>
      <c r="C12" s="17">
        <v>3.49</v>
      </c>
      <c r="D12" s="17">
        <v>3.23</v>
      </c>
      <c r="E12" s="17">
        <v>0.13</v>
      </c>
      <c r="F12" s="17">
        <v>0.22</v>
      </c>
      <c r="G12" s="5">
        <f t="shared" ref="G12:G13" si="6">AVERAGE(C12:D12)</f>
        <v>3.3600000000000003</v>
      </c>
      <c r="H12" s="19">
        <f t="shared" ref="H12:H13" si="7">AVERAGE(E12:F12)</f>
        <v>0.17499999999999999</v>
      </c>
      <c r="I12" s="19">
        <f t="shared" ref="I12:I13" si="8">C12-D12</f>
        <v>0.26000000000000023</v>
      </c>
      <c r="J12" s="19">
        <f t="shared" ref="J12:J13" si="9">E12-F12</f>
        <v>-0.09</v>
      </c>
      <c r="K12" s="5">
        <f t="shared" ref="K12:K13" si="10">G12*J12</f>
        <v>-0.3024</v>
      </c>
      <c r="L12" s="5">
        <f t="shared" ref="L12:L13" si="11">H12*I12</f>
        <v>4.550000000000004E-2</v>
      </c>
      <c r="M12" s="5"/>
      <c r="N12" s="5"/>
      <c r="O12" s="5"/>
      <c r="P12" s="5"/>
      <c r="Q12" s="5"/>
    </row>
    <row r="13" spans="1:17" ht="18.75" customHeight="1" x14ac:dyDescent="0.25">
      <c r="A13" s="80"/>
      <c r="B13" s="4" t="s">
        <v>6</v>
      </c>
      <c r="C13" s="17">
        <v>2.2000000000000002</v>
      </c>
      <c r="D13" s="17">
        <v>1.88</v>
      </c>
      <c r="E13" s="17">
        <v>0.35</v>
      </c>
      <c r="F13" s="17">
        <v>0.59</v>
      </c>
      <c r="G13" s="27">
        <f t="shared" si="6"/>
        <v>2.04</v>
      </c>
      <c r="H13" s="28">
        <f t="shared" si="7"/>
        <v>0.47</v>
      </c>
      <c r="I13" s="28">
        <f t="shared" si="8"/>
        <v>0.32000000000000028</v>
      </c>
      <c r="J13" s="28">
        <f t="shared" si="9"/>
        <v>-0.24</v>
      </c>
      <c r="K13" s="27">
        <f t="shared" si="10"/>
        <v>-0.48959999999999998</v>
      </c>
      <c r="L13" s="27">
        <f t="shared" si="11"/>
        <v>0.15040000000000012</v>
      </c>
      <c r="M13" s="5"/>
      <c r="N13" s="5"/>
      <c r="O13" s="5"/>
      <c r="P13" s="5"/>
      <c r="Q13" s="5"/>
    </row>
    <row r="14" spans="1:17" ht="18.75" customHeight="1" x14ac:dyDescent="0.25">
      <c r="A14" s="81"/>
      <c r="B14" s="6" t="s">
        <v>7</v>
      </c>
      <c r="C14" s="11">
        <v>2.58</v>
      </c>
      <c r="D14" s="11">
        <v>2.2599999999999998</v>
      </c>
      <c r="E14" s="11">
        <f>SUM(E11:E13)</f>
        <v>0.53</v>
      </c>
      <c r="F14" s="11">
        <f>SUM(F11:F13)</f>
        <v>0.87</v>
      </c>
      <c r="G14" s="18"/>
      <c r="H14" s="21"/>
      <c r="I14" s="21"/>
      <c r="J14" s="20"/>
      <c r="K14" s="29"/>
      <c r="L14" s="29"/>
      <c r="M14" s="5"/>
      <c r="N14" s="5"/>
      <c r="O14" s="5"/>
      <c r="P14" s="5"/>
      <c r="Q14" s="5"/>
    </row>
    <row r="15" spans="1:17" ht="18.75" customHeight="1" x14ac:dyDescent="0.25">
      <c r="A15" s="12" t="s">
        <v>18</v>
      </c>
      <c r="B15" s="12" t="s">
        <v>19</v>
      </c>
      <c r="M15" s="24"/>
      <c r="N15" s="24"/>
      <c r="O15" s="24"/>
      <c r="P15" s="24"/>
      <c r="Q15" s="5"/>
    </row>
    <row r="17" spans="2:11" ht="21" x14ac:dyDescent="0.35">
      <c r="B17" s="8" t="s">
        <v>13</v>
      </c>
    </row>
    <row r="18" spans="2:11" ht="24" x14ac:dyDescent="0.25">
      <c r="B18" s="35">
        <f>C6-D6</f>
        <v>0.77</v>
      </c>
    </row>
    <row r="19" spans="2:11" ht="15.75" thickBot="1" x14ac:dyDescent="0.3"/>
    <row r="20" spans="2:11" s="9" customFormat="1" ht="25.5" customHeight="1" thickTop="1" thickBot="1" x14ac:dyDescent="0.4">
      <c r="B20" s="9" t="s">
        <v>14</v>
      </c>
      <c r="D20" s="66">
        <f>SUM(K7:K13)</f>
        <v>0.35334999999999989</v>
      </c>
      <c r="E20" s="67">
        <f>D20/B18</f>
        <v>0.45889610389610375</v>
      </c>
    </row>
    <row r="21" spans="2:11" s="9" customFormat="1" ht="25.5" customHeight="1" thickTop="1" thickBot="1" x14ac:dyDescent="0.4">
      <c r="B21" s="9" t="s">
        <v>15</v>
      </c>
      <c r="D21" s="68">
        <f>SUM(L7:L13)</f>
        <v>0.41235000000000022</v>
      </c>
      <c r="E21" s="69">
        <f>D21/B18</f>
        <v>0.53551948051948084</v>
      </c>
    </row>
    <row r="22" spans="2:11" ht="15.75" thickTop="1" x14ac:dyDescent="0.25"/>
    <row r="25" spans="2:11" ht="18.75" x14ac:dyDescent="0.3">
      <c r="B25" s="33"/>
      <c r="C25" s="32"/>
      <c r="D25" s="32"/>
      <c r="E25" s="32"/>
      <c r="F25" s="32"/>
      <c r="G25" s="32"/>
      <c r="H25" s="32"/>
      <c r="I25" s="32"/>
      <c r="J25" s="32"/>
      <c r="K25" s="32"/>
    </row>
    <row r="26" spans="2:11" ht="15.75" x14ac:dyDescent="0.25">
      <c r="B26" s="10"/>
      <c r="C26" s="10"/>
      <c r="D26" s="10"/>
      <c r="E26" s="10"/>
      <c r="F26" s="10"/>
      <c r="G26" s="10"/>
      <c r="H26" s="10"/>
      <c r="I26" s="10"/>
      <c r="J26" s="32"/>
      <c r="K26" s="32"/>
    </row>
    <row r="27" spans="2:11" ht="15.75" x14ac:dyDescent="0.25"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2:11" ht="15.75" x14ac:dyDescent="0.25"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spans="2:11" ht="15.75" x14ac:dyDescent="0.25"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2:11" ht="18.75" x14ac:dyDescent="0.3">
      <c r="B30" s="33"/>
      <c r="C30" s="32"/>
      <c r="D30" s="32"/>
      <c r="E30" s="32"/>
      <c r="F30" s="32"/>
      <c r="G30" s="32"/>
      <c r="H30" s="32"/>
      <c r="I30" s="32"/>
      <c r="J30" s="32"/>
      <c r="K30" s="32"/>
    </row>
    <row r="31" spans="2:11" ht="15.75" x14ac:dyDescent="0.25">
      <c r="B31" s="10"/>
      <c r="C31" s="10"/>
      <c r="D31" s="10"/>
      <c r="E31" s="10"/>
      <c r="F31" s="10"/>
      <c r="G31" s="10"/>
      <c r="H31" s="10"/>
      <c r="I31" s="10"/>
      <c r="J31" s="32"/>
      <c r="K31" s="32"/>
    </row>
    <row r="32" spans="2:11" ht="15.75" x14ac:dyDescent="0.25"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2:11" ht="15.75" x14ac:dyDescent="0.25"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spans="2:11" ht="15.75" x14ac:dyDescent="0.25"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spans="2:11" ht="15.75" x14ac:dyDescent="0.25">
      <c r="B35" s="32"/>
      <c r="C35" s="32"/>
      <c r="D35" s="32"/>
      <c r="E35" s="32"/>
      <c r="F35" s="32"/>
      <c r="G35" s="32"/>
      <c r="H35" s="32"/>
      <c r="I35" s="32"/>
      <c r="J35" s="32"/>
      <c r="K35" s="32"/>
    </row>
    <row r="36" spans="2:11" ht="15.75" x14ac:dyDescent="0.25"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7" spans="2:11" ht="15.75" x14ac:dyDescent="0.25">
      <c r="B37" s="32"/>
      <c r="C37" s="32"/>
      <c r="D37" s="32"/>
      <c r="E37" s="32"/>
      <c r="F37" s="32"/>
      <c r="G37" s="32"/>
      <c r="H37" s="32"/>
      <c r="I37" s="32"/>
      <c r="J37" s="32"/>
      <c r="K37" s="32"/>
    </row>
    <row r="38" spans="2:11" ht="15.75" x14ac:dyDescent="0.25">
      <c r="B38" s="32"/>
      <c r="C38" s="32"/>
      <c r="D38" s="32"/>
      <c r="E38" s="32"/>
      <c r="F38" s="32"/>
      <c r="G38" s="32"/>
      <c r="H38" s="32"/>
      <c r="I38" s="32"/>
      <c r="J38" s="32"/>
      <c r="K38" s="32"/>
    </row>
    <row r="39" spans="2:11" ht="15.75" x14ac:dyDescent="0.25">
      <c r="B39" s="32"/>
      <c r="C39" s="32"/>
      <c r="D39" s="32"/>
      <c r="E39" s="32"/>
      <c r="F39" s="32"/>
      <c r="G39" s="32"/>
      <c r="H39" s="32"/>
      <c r="I39" s="32"/>
      <c r="J39" s="32"/>
      <c r="K39" s="32"/>
    </row>
    <row r="40" spans="2:11" ht="15.75" x14ac:dyDescent="0.25"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spans="2:11" ht="15.75" x14ac:dyDescent="0.25"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spans="2:11" ht="15.75" x14ac:dyDescent="0.25">
      <c r="B42" s="32"/>
      <c r="C42" s="32"/>
      <c r="D42" s="32"/>
      <c r="E42" s="32"/>
      <c r="F42" s="32"/>
      <c r="G42" s="32"/>
      <c r="H42" s="32"/>
      <c r="I42" s="32"/>
      <c r="J42" s="32"/>
      <c r="K42" s="32"/>
    </row>
    <row r="43" spans="2:11" ht="15.75" x14ac:dyDescent="0.25">
      <c r="B43" s="32"/>
      <c r="C43" s="32"/>
      <c r="D43" s="32"/>
      <c r="E43" s="32"/>
      <c r="F43" s="32"/>
      <c r="G43" s="32"/>
      <c r="H43" s="32"/>
      <c r="I43" s="32"/>
      <c r="J43" s="32"/>
      <c r="K43" s="32"/>
    </row>
    <row r="44" spans="2:11" ht="15.75" x14ac:dyDescent="0.25"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2:11" ht="15.75" x14ac:dyDescent="0.25"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2:11" ht="15.75" x14ac:dyDescent="0.25"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2:11" ht="15.75" x14ac:dyDescent="0.25"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2:11" ht="15.75" x14ac:dyDescent="0.25"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2:11" ht="15.75" x14ac:dyDescent="0.25"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2:11" ht="15.75" x14ac:dyDescent="0.25"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2:1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spans="2:11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2:1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spans="2:1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spans="2:1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spans="2:1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spans="2:1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spans="2:1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spans="2:1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2:1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spans="2:1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spans="2:1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spans="2:1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spans="2:1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spans="2:1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spans="2:1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2:1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spans="2:1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spans="2:1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spans="2:1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spans="2:1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spans="2:1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spans="2:1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spans="2:1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spans="2:1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spans="2:1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spans="2:1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spans="2:1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spans="2:1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2:1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2:1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spans="2:1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spans="2:1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spans="2:1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spans="2:1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spans="2:1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spans="2:1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spans="2:1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spans="2:1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spans="2:1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spans="2:1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spans="2:1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spans="2:1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spans="2:1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spans="2:1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spans="2:1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spans="2:1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spans="2:1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spans="2:1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spans="2:1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spans="2:1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spans="2:1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spans="2:1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spans="2:1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spans="2:1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spans="2:1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spans="2:1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spans="2:1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 spans="2:1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 spans="2:11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 spans="2:11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 spans="2:11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spans="2:11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spans="2:11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spans="2:11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 spans="2:11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2:11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spans="2:11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spans="2:11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 spans="2:11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 spans="2:11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 spans="2:11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 spans="2:11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 spans="2:11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 spans="2:11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 spans="2:11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  <row r="128" spans="2:11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 spans="2:11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 spans="2:11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 spans="2:11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</row>
    <row r="132" spans="2:11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</row>
    <row r="133" spans="2:11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</row>
    <row r="134" spans="2:11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 spans="2:11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</row>
    <row r="136" spans="2:11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</row>
    <row r="137" spans="2:11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</row>
    <row r="138" spans="2:11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</row>
    <row r="139" spans="2:11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</row>
    <row r="140" spans="2:11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</row>
    <row r="141" spans="2:11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 spans="2:11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</row>
    <row r="143" spans="2:11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</row>
    <row r="144" spans="2:11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 spans="2:11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</row>
    <row r="146" spans="2:11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 spans="2:11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 spans="2:11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 spans="2:11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 spans="2:11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 spans="2:11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 spans="2:11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spans="2:11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</row>
    <row r="154" spans="2:11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spans="2:11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spans="2:11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</row>
    <row r="157" spans="2:11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</row>
    <row r="158" spans="2:11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</row>
    <row r="159" spans="2:11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</row>
    <row r="160" spans="2:11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</row>
    <row r="161" spans="2:11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</sheetData>
  <mergeCells count="3">
    <mergeCell ref="A3:A6"/>
    <mergeCell ref="A7:A10"/>
    <mergeCell ref="A11:A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FBF8-39CD-4CF2-A1C6-40C8FEF34F02}">
  <dimension ref="A2:L127"/>
  <sheetViews>
    <sheetView tabSelected="1" zoomScaleNormal="100" workbookViewId="0"/>
  </sheetViews>
  <sheetFormatPr baseColWidth="10" defaultRowHeight="15" x14ac:dyDescent="0.25"/>
  <cols>
    <col min="1" max="2" width="37.140625" style="1" customWidth="1"/>
    <col min="3" max="6" width="20.42578125" style="1" customWidth="1"/>
    <col min="7" max="8" width="17.85546875" style="1" customWidth="1"/>
    <col min="9" max="12" width="20.28515625" style="1" customWidth="1"/>
    <col min="13" max="15" width="19" style="1" customWidth="1"/>
    <col min="16" max="16384" width="11.42578125" style="1"/>
  </cols>
  <sheetData>
    <row r="2" spans="1:12" ht="47.25" customHeight="1" x14ac:dyDescent="0.25">
      <c r="A2" s="7" t="s">
        <v>28</v>
      </c>
      <c r="B2" s="7" t="s">
        <v>29</v>
      </c>
      <c r="C2" s="7" t="s">
        <v>1</v>
      </c>
      <c r="D2" s="7" t="s">
        <v>2</v>
      </c>
      <c r="E2" s="7" t="s">
        <v>3</v>
      </c>
      <c r="F2" s="7" t="s">
        <v>8</v>
      </c>
      <c r="G2" s="7" t="s">
        <v>20</v>
      </c>
      <c r="H2" s="7" t="s">
        <v>21</v>
      </c>
      <c r="I2" s="7" t="s">
        <v>22</v>
      </c>
      <c r="J2" s="7" t="s">
        <v>23</v>
      </c>
      <c r="L2" s="59"/>
    </row>
    <row r="3" spans="1:12" s="47" customFormat="1" ht="24" customHeight="1" x14ac:dyDescent="0.25">
      <c r="A3" s="50" t="s">
        <v>18</v>
      </c>
      <c r="B3" s="2" t="s">
        <v>4</v>
      </c>
      <c r="C3" s="51">
        <v>2.89</v>
      </c>
      <c r="D3" s="51">
        <v>2.29</v>
      </c>
      <c r="E3" s="51">
        <v>0.06</v>
      </c>
      <c r="F3" s="51">
        <v>0.01</v>
      </c>
      <c r="G3" s="51">
        <f>E3+E4+E5</f>
        <v>0.47</v>
      </c>
      <c r="H3" s="51">
        <f>F3+F4+F5</f>
        <v>0.13</v>
      </c>
      <c r="I3" s="51">
        <f t="shared" ref="I3:J5" si="0">E3+E6</f>
        <v>0.11</v>
      </c>
      <c r="J3" s="51">
        <f t="shared" si="0"/>
        <v>6.9999999999999993E-2</v>
      </c>
      <c r="L3" s="78"/>
    </row>
    <row r="4" spans="1:12" s="47" customFormat="1" ht="24" customHeight="1" x14ac:dyDescent="0.25">
      <c r="A4" s="52" t="s">
        <v>18</v>
      </c>
      <c r="B4" s="4" t="s">
        <v>5</v>
      </c>
      <c r="C4" s="53">
        <v>4.07</v>
      </c>
      <c r="D4" s="53">
        <v>3.43</v>
      </c>
      <c r="E4" s="53">
        <v>0.17</v>
      </c>
      <c r="F4" s="53">
        <v>0.04</v>
      </c>
      <c r="G4" s="54">
        <f>E3+E4+E5</f>
        <v>0.47</v>
      </c>
      <c r="H4" s="54">
        <f>F3+F4+F5</f>
        <v>0.13</v>
      </c>
      <c r="I4" s="54">
        <f t="shared" si="0"/>
        <v>0.30000000000000004</v>
      </c>
      <c r="J4" s="54">
        <f t="shared" si="0"/>
        <v>0.26</v>
      </c>
      <c r="L4" s="78"/>
    </row>
    <row r="5" spans="1:12" s="47" customFormat="1" ht="24" customHeight="1" x14ac:dyDescent="0.25">
      <c r="A5" s="55" t="s">
        <v>18</v>
      </c>
      <c r="B5" s="4" t="s">
        <v>6</v>
      </c>
      <c r="C5" s="53">
        <v>3.79</v>
      </c>
      <c r="D5" s="53">
        <v>3.15</v>
      </c>
      <c r="E5" s="53">
        <v>0.24</v>
      </c>
      <c r="F5" s="53">
        <v>0.08</v>
      </c>
      <c r="G5" s="53">
        <f>E3+E4+E5</f>
        <v>0.47</v>
      </c>
      <c r="H5" s="53">
        <f>F3+F4+F5</f>
        <v>0.13</v>
      </c>
      <c r="I5" s="53">
        <f t="shared" si="0"/>
        <v>0.59</v>
      </c>
      <c r="J5" s="53">
        <f t="shared" si="0"/>
        <v>0.66999999999999993</v>
      </c>
      <c r="L5" s="78"/>
    </row>
    <row r="6" spans="1:12" s="47" customFormat="1" ht="24" customHeight="1" x14ac:dyDescent="0.25">
      <c r="A6" s="52" t="s">
        <v>19</v>
      </c>
      <c r="B6" s="4" t="s">
        <v>4</v>
      </c>
      <c r="C6" s="54">
        <v>2.92</v>
      </c>
      <c r="D6" s="54">
        <v>2.4500000000000002</v>
      </c>
      <c r="E6" s="54">
        <v>0.05</v>
      </c>
      <c r="F6" s="54">
        <v>0.06</v>
      </c>
      <c r="G6" s="54">
        <f>E6+E7+E8</f>
        <v>0.53</v>
      </c>
      <c r="H6" s="54">
        <f>F6+F7+F8</f>
        <v>0.87</v>
      </c>
      <c r="I6" s="54">
        <f t="shared" ref="I6:J8" si="1">E3+E6</f>
        <v>0.11</v>
      </c>
      <c r="J6" s="54">
        <f t="shared" si="1"/>
        <v>6.9999999999999993E-2</v>
      </c>
      <c r="L6" s="78"/>
    </row>
    <row r="7" spans="1:12" s="47" customFormat="1" ht="24" customHeight="1" x14ac:dyDescent="0.25">
      <c r="A7" s="55" t="s">
        <v>19</v>
      </c>
      <c r="B7" s="4" t="s">
        <v>5</v>
      </c>
      <c r="C7" s="54">
        <v>3.49</v>
      </c>
      <c r="D7" s="54">
        <v>3.23</v>
      </c>
      <c r="E7" s="54">
        <v>0.13</v>
      </c>
      <c r="F7" s="54">
        <v>0.22</v>
      </c>
      <c r="G7" s="53">
        <f>E6+E7+E8</f>
        <v>0.53</v>
      </c>
      <c r="H7" s="53">
        <f>F6+F7+F8</f>
        <v>0.87</v>
      </c>
      <c r="I7" s="53">
        <f t="shared" si="1"/>
        <v>0.30000000000000004</v>
      </c>
      <c r="J7" s="53">
        <f t="shared" si="1"/>
        <v>0.26</v>
      </c>
      <c r="L7" s="78"/>
    </row>
    <row r="8" spans="1:12" s="47" customFormat="1" ht="24" customHeight="1" x14ac:dyDescent="0.25">
      <c r="A8" s="56" t="s">
        <v>19</v>
      </c>
      <c r="B8" s="34" t="s">
        <v>6</v>
      </c>
      <c r="C8" s="57">
        <v>2.2000000000000002</v>
      </c>
      <c r="D8" s="57">
        <v>1.88</v>
      </c>
      <c r="E8" s="57">
        <v>0.35</v>
      </c>
      <c r="F8" s="57">
        <v>0.59</v>
      </c>
      <c r="G8" s="57">
        <f>E6+E7+E8</f>
        <v>0.53</v>
      </c>
      <c r="H8" s="57">
        <f>F6+F7+F8</f>
        <v>0.87</v>
      </c>
      <c r="I8" s="57">
        <f t="shared" si="1"/>
        <v>0.59</v>
      </c>
      <c r="J8" s="57">
        <f t="shared" si="1"/>
        <v>0.66999999999999993</v>
      </c>
      <c r="L8" s="78"/>
    </row>
    <row r="9" spans="1:12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</row>
    <row r="11" spans="1:12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47.25" customHeight="1" x14ac:dyDescent="0.25">
      <c r="A12" s="7" t="s">
        <v>28</v>
      </c>
      <c r="B12" s="7" t="s">
        <v>29</v>
      </c>
      <c r="C12" s="60" t="s">
        <v>9</v>
      </c>
      <c r="D12" s="60" t="s">
        <v>10</v>
      </c>
      <c r="E12" s="60" t="s">
        <v>12</v>
      </c>
      <c r="F12" s="60" t="s">
        <v>11</v>
      </c>
      <c r="G12" s="61" t="s">
        <v>14</v>
      </c>
      <c r="H12" s="61" t="s">
        <v>24</v>
      </c>
      <c r="I12" s="61" t="s">
        <v>25</v>
      </c>
      <c r="J12" s="61" t="s">
        <v>26</v>
      </c>
      <c r="L12" s="59"/>
    </row>
    <row r="13" spans="1:12" s="47" customFormat="1" ht="24" customHeight="1" x14ac:dyDescent="0.25">
      <c r="A13" s="50" t="s">
        <v>18</v>
      </c>
      <c r="B13" s="2" t="s">
        <v>4</v>
      </c>
      <c r="C13" s="62">
        <f t="shared" ref="C13:C18" si="2">(C3+D3)/2</f>
        <v>2.59</v>
      </c>
      <c r="D13" s="62">
        <f t="shared" ref="D13:D18" si="3">(E3+F3)/2</f>
        <v>3.4999999999999996E-2</v>
      </c>
      <c r="E13" s="62">
        <f t="shared" ref="E13:E18" si="4">C3-D3</f>
        <v>0.60000000000000009</v>
      </c>
      <c r="F13" s="62">
        <f t="shared" ref="F13:F18" si="5">E3-F3</f>
        <v>4.9999999999999996E-2</v>
      </c>
      <c r="G13" s="62">
        <f t="shared" ref="G13:G18" si="6">C13*F13</f>
        <v>0.12949999999999998</v>
      </c>
      <c r="H13" s="62">
        <f>((C3+D3)/2)*((I3+J3)/2)*(E3/I3-F3/J3)</f>
        <v>9.384545454545451E-2</v>
      </c>
      <c r="I13" s="62">
        <f t="shared" ref="I13:I18" si="7">(C3+D3)/2*((G3+H3)/2)*(E3/G3-F3/H3)</f>
        <v>3.9422258592471345E-2</v>
      </c>
      <c r="J13" s="62">
        <f t="shared" ref="J13:J18" si="8">C13*((F3/H3*G3-E3/G3*H3)+(F3/J3*I3-E3/I3*J3))/2</f>
        <v>-3.767713137925894E-3</v>
      </c>
    </row>
    <row r="14" spans="1:12" s="47" customFormat="1" ht="24" customHeight="1" x14ac:dyDescent="0.25">
      <c r="A14" s="52" t="s">
        <v>18</v>
      </c>
      <c r="B14" s="4" t="s">
        <v>5</v>
      </c>
      <c r="C14" s="63">
        <f t="shared" si="2"/>
        <v>3.75</v>
      </c>
      <c r="D14" s="63">
        <f t="shared" si="3"/>
        <v>0.10500000000000001</v>
      </c>
      <c r="E14" s="63">
        <f t="shared" si="4"/>
        <v>0.64000000000000012</v>
      </c>
      <c r="F14" s="63">
        <f t="shared" si="5"/>
        <v>0.13</v>
      </c>
      <c r="G14" s="63">
        <f t="shared" si="6"/>
        <v>0.48750000000000004</v>
      </c>
      <c r="H14" s="63">
        <f>(C4+D4)/2*((I4+J4)/2)*(E4/I4-F4/J4)</f>
        <v>0.43346153846153845</v>
      </c>
      <c r="I14" s="63">
        <f t="shared" si="7"/>
        <v>6.0761047463175129E-2</v>
      </c>
      <c r="J14" s="63">
        <f t="shared" si="8"/>
        <v>-6.7225859247135866E-3</v>
      </c>
    </row>
    <row r="15" spans="1:12" s="47" customFormat="1" ht="24" customHeight="1" x14ac:dyDescent="0.25">
      <c r="A15" s="55" t="s">
        <v>18</v>
      </c>
      <c r="B15" s="4" t="s">
        <v>6</v>
      </c>
      <c r="C15" s="64">
        <f t="shared" si="2"/>
        <v>3.4699999999999998</v>
      </c>
      <c r="D15" s="64">
        <f t="shared" si="3"/>
        <v>0.16</v>
      </c>
      <c r="E15" s="64">
        <f t="shared" si="4"/>
        <v>0.64000000000000012</v>
      </c>
      <c r="F15" s="64">
        <f t="shared" si="5"/>
        <v>0.15999999999999998</v>
      </c>
      <c r="G15" s="64">
        <f t="shared" si="6"/>
        <v>0.55519999999999992</v>
      </c>
      <c r="H15" s="64">
        <f>(C5+D5)/2*((I5+J5)/2)*(E5/I5-F5/J5)</f>
        <v>0.62823415127751059</v>
      </c>
      <c r="I15" s="64">
        <f t="shared" si="7"/>
        <v>-0.1090409165302783</v>
      </c>
      <c r="J15" s="64">
        <f t="shared" si="8"/>
        <v>3.6006765252767504E-2</v>
      </c>
    </row>
    <row r="16" spans="1:12" s="47" customFormat="1" ht="24" customHeight="1" x14ac:dyDescent="0.25">
      <c r="A16" s="52" t="s">
        <v>19</v>
      </c>
      <c r="B16" s="4" t="s">
        <v>4</v>
      </c>
      <c r="C16" s="63">
        <f t="shared" si="2"/>
        <v>2.6850000000000001</v>
      </c>
      <c r="D16" s="63">
        <f t="shared" si="3"/>
        <v>5.5E-2</v>
      </c>
      <c r="E16" s="63">
        <f t="shared" si="4"/>
        <v>0.46999999999999975</v>
      </c>
      <c r="F16" s="63">
        <f t="shared" si="5"/>
        <v>-9.999999999999995E-3</v>
      </c>
      <c r="G16" s="63">
        <f t="shared" si="6"/>
        <v>-2.6849999999999988E-2</v>
      </c>
      <c r="H16" s="63">
        <f>(C6+D6)/2*((I6+J6)/2)*(E6/I6-F6/J6)</f>
        <v>-9.728766233766234E-2</v>
      </c>
      <c r="I16" s="63">
        <f t="shared" si="7"/>
        <v>4.7690631099544578E-2</v>
      </c>
      <c r="J16" s="63">
        <f t="shared" si="8"/>
        <v>2.2747031238117773E-2</v>
      </c>
    </row>
    <row r="17" spans="1:12" s="47" customFormat="1" ht="24" customHeight="1" x14ac:dyDescent="0.25">
      <c r="A17" s="55" t="s">
        <v>19</v>
      </c>
      <c r="B17" s="4" t="s">
        <v>5</v>
      </c>
      <c r="C17" s="64">
        <f t="shared" si="2"/>
        <v>3.3600000000000003</v>
      </c>
      <c r="D17" s="64">
        <f t="shared" si="3"/>
        <v>0.17499999999999999</v>
      </c>
      <c r="E17" s="64">
        <f t="shared" si="4"/>
        <v>0.26000000000000023</v>
      </c>
      <c r="F17" s="64">
        <f t="shared" si="5"/>
        <v>-0.09</v>
      </c>
      <c r="G17" s="64">
        <f t="shared" si="6"/>
        <v>-0.3024</v>
      </c>
      <c r="H17" s="64">
        <f>(C7+D7)/2*((I7+J7)/2)*(E7/I7-F7/J7)</f>
        <v>-0.38838153846153856</v>
      </c>
      <c r="I17" s="64">
        <f t="shared" si="7"/>
        <v>-1.7852960312296735E-2</v>
      </c>
      <c r="J17" s="64">
        <f t="shared" si="8"/>
        <v>0.10383449877383526</v>
      </c>
    </row>
    <row r="18" spans="1:12" s="47" customFormat="1" ht="24" customHeight="1" x14ac:dyDescent="0.25">
      <c r="A18" s="56" t="s">
        <v>19</v>
      </c>
      <c r="B18" s="34" t="s">
        <v>6</v>
      </c>
      <c r="C18" s="65">
        <f t="shared" si="2"/>
        <v>2.04</v>
      </c>
      <c r="D18" s="65">
        <f t="shared" si="3"/>
        <v>0.47</v>
      </c>
      <c r="E18" s="65">
        <f t="shared" si="4"/>
        <v>0.32000000000000028</v>
      </c>
      <c r="F18" s="65">
        <f t="shared" si="5"/>
        <v>-0.24</v>
      </c>
      <c r="G18" s="65">
        <f t="shared" si="6"/>
        <v>-0.48959999999999998</v>
      </c>
      <c r="H18" s="65">
        <f>(C8+D8)/2*((I8+J8)/2)*(E8/I8-F8/J8)</f>
        <v>-0.36933650392107276</v>
      </c>
      <c r="I18" s="65">
        <f t="shared" si="7"/>
        <v>-2.5394925178919951E-2</v>
      </c>
      <c r="J18" s="65">
        <f t="shared" si="8"/>
        <v>-9.4868570900007207E-2</v>
      </c>
    </row>
    <row r="19" spans="1:12" s="32" customFormat="1" ht="15.75" x14ac:dyDescent="0.25"/>
    <row r="20" spans="1:12" s="32" customFormat="1" ht="15.75" x14ac:dyDescent="0.25"/>
    <row r="21" spans="1:12" ht="21" x14ac:dyDescent="0.35">
      <c r="A21" s="8" t="s">
        <v>13</v>
      </c>
      <c r="L21" s="59"/>
    </row>
    <row r="22" spans="1:12" ht="24" x14ac:dyDescent="0.25">
      <c r="A22" s="35">
        <f>'Dos factores (4)'!B18</f>
        <v>0.77</v>
      </c>
      <c r="L22" s="59"/>
    </row>
    <row r="23" spans="1:12" ht="15.75" thickBot="1" x14ac:dyDescent="0.3">
      <c r="L23" s="59"/>
    </row>
    <row r="24" spans="1:12" ht="24.75" customHeight="1" thickTop="1" thickBot="1" x14ac:dyDescent="0.4">
      <c r="A24" s="9" t="s">
        <v>14</v>
      </c>
      <c r="B24" s="66">
        <f>SUM(G13:G18)</f>
        <v>0.35334999999999989</v>
      </c>
      <c r="C24" s="73">
        <f>B24/$A$22</f>
        <v>0.45889610389610375</v>
      </c>
      <c r="D24" s="75"/>
      <c r="E24" s="76"/>
      <c r="F24" s="77"/>
      <c r="G24" s="59"/>
      <c r="H24" s="59"/>
      <c r="I24" s="59"/>
      <c r="J24" s="59"/>
      <c r="K24" s="59"/>
    </row>
    <row r="25" spans="1:12" ht="24.75" customHeight="1" thickTop="1" thickBot="1" x14ac:dyDescent="0.4">
      <c r="A25" s="9" t="s">
        <v>25</v>
      </c>
      <c r="B25" s="66">
        <f>SUM(I13:I18)</f>
        <v>-4.4148648663039289E-3</v>
      </c>
      <c r="C25" s="73">
        <f t="shared" ref="C25:C28" si="9">B25/$A$22</f>
        <v>-5.7335907354596474E-3</v>
      </c>
      <c r="D25" s="75"/>
      <c r="E25" s="76"/>
      <c r="F25" s="77"/>
      <c r="G25" s="59"/>
      <c r="H25" s="59"/>
      <c r="I25" s="59"/>
      <c r="J25" s="59"/>
      <c r="K25" s="59"/>
    </row>
    <row r="26" spans="1:12" ht="24.75" customHeight="1" thickTop="1" thickBot="1" x14ac:dyDescent="0.4">
      <c r="A26" s="9" t="s">
        <v>24</v>
      </c>
      <c r="B26" s="66">
        <f>SUM(H13:H18)</f>
        <v>0.30053543956422968</v>
      </c>
      <c r="C26" s="73">
        <f t="shared" si="9"/>
        <v>0.39030576566783076</v>
      </c>
      <c r="D26" s="75"/>
      <c r="E26" s="76"/>
      <c r="F26" s="77"/>
      <c r="G26" s="59"/>
      <c r="H26" s="59"/>
      <c r="I26" s="59"/>
      <c r="J26" s="59"/>
      <c r="K26" s="59"/>
    </row>
    <row r="27" spans="1:12" ht="24.75" customHeight="1" thickTop="1" thickBot="1" x14ac:dyDescent="0.4">
      <c r="A27" s="9" t="s">
        <v>27</v>
      </c>
      <c r="B27" s="66">
        <f>SUM(J13:J18)</f>
        <v>5.7229425302073852E-2</v>
      </c>
      <c r="C27" s="73">
        <f t="shared" si="9"/>
        <v>7.4323928963732272E-2</v>
      </c>
      <c r="D27" s="75"/>
      <c r="E27" s="76"/>
      <c r="F27" s="77"/>
      <c r="G27" s="59"/>
      <c r="H27" s="59"/>
      <c r="I27" s="59"/>
      <c r="J27" s="59"/>
      <c r="K27" s="59"/>
    </row>
    <row r="28" spans="1:12" ht="24.75" customHeight="1" thickTop="1" thickBot="1" x14ac:dyDescent="0.4">
      <c r="A28" s="9" t="s">
        <v>15</v>
      </c>
      <c r="B28" s="68">
        <f>'Dos factores (4)'!D21</f>
        <v>0.41235000000000022</v>
      </c>
      <c r="C28" s="74">
        <f t="shared" si="9"/>
        <v>0.53551948051948084</v>
      </c>
      <c r="D28" s="75"/>
      <c r="E28" s="76"/>
      <c r="F28" s="77"/>
      <c r="G28" s="59"/>
      <c r="H28" s="59"/>
      <c r="I28" s="59"/>
      <c r="J28" s="59"/>
      <c r="K28" s="59"/>
    </row>
    <row r="29" spans="1:12" ht="15.75" thickTop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</row>
    <row r="30" spans="1:12" ht="21" x14ac:dyDescent="0.35">
      <c r="B30" s="9"/>
      <c r="C30" s="44"/>
      <c r="D30" s="45"/>
      <c r="E30" s="32"/>
      <c r="F30" s="32"/>
      <c r="G30" s="32"/>
      <c r="H30" s="32"/>
      <c r="I30" s="32"/>
      <c r="J30" s="32"/>
      <c r="K30" s="32"/>
    </row>
    <row r="31" spans="1:12" ht="21" x14ac:dyDescent="0.35">
      <c r="B31" s="9"/>
      <c r="C31" s="44"/>
      <c r="D31" s="46"/>
      <c r="E31" s="32"/>
      <c r="F31" s="32"/>
      <c r="G31" s="32"/>
      <c r="H31" s="32"/>
      <c r="I31" s="32"/>
      <c r="J31" s="32"/>
      <c r="K31" s="32"/>
    </row>
    <row r="32" spans="1:12" x14ac:dyDescent="0.25"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2:11" ht="21" x14ac:dyDescent="0.25">
      <c r="B33" s="31"/>
      <c r="C33" s="70"/>
      <c r="D33" s="71"/>
      <c r="E33" s="31"/>
      <c r="F33" s="31"/>
      <c r="G33" s="31"/>
      <c r="H33" s="31"/>
      <c r="I33" s="31"/>
      <c r="J33" s="31"/>
      <c r="K33" s="31"/>
    </row>
    <row r="34" spans="2:11" ht="21" x14ac:dyDescent="0.25">
      <c r="B34" s="31"/>
      <c r="C34" s="70"/>
      <c r="D34" s="72"/>
      <c r="E34" s="31"/>
      <c r="F34" s="31"/>
      <c r="G34" s="31"/>
      <c r="H34" s="31"/>
      <c r="I34" s="31"/>
      <c r="J34" s="31"/>
      <c r="K34" s="31"/>
    </row>
    <row r="35" spans="2:11" x14ac:dyDescent="0.25"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spans="2:11" x14ac:dyDescent="0.25"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2:11" x14ac:dyDescent="0.25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2:11" x14ac:dyDescent="0.25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2:11" x14ac:dyDescent="0.25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2:11" x14ac:dyDescent="0.25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2:11" x14ac:dyDescent="0.25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2:11" x14ac:dyDescent="0.25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2:11" x14ac:dyDescent="0.25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2:11" x14ac:dyDescent="0.25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2:11" x14ac:dyDescent="0.25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2:11" x14ac:dyDescent="0.25"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spans="2:11" x14ac:dyDescent="0.25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2:11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 spans="2:11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spans="2:1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spans="2:11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2:11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spans="2:11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spans="2:11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spans="2:11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spans="2:11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spans="2:1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spans="2:11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2:11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spans="2:11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spans="2:11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spans="2:11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spans="2:11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spans="2:11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spans="2:11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2:11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spans="2:11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spans="2:11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spans="2:11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spans="2:11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spans="2:11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spans="2:11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spans="2:11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spans="2:11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spans="2:1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spans="2:11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spans="2:11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spans="2:11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2:11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2:11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spans="2:11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spans="2:11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spans="2:11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spans="2:11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spans="2:11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spans="2:11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spans="2:11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spans="2:11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spans="2:11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spans="2:11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spans="2:11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spans="2:11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spans="2:11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spans="2:11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spans="2:11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spans="2:11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spans="2:11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spans="2:11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spans="2:11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spans="2:11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spans="2:11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spans="2:11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spans="2:11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spans="2:11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spans="2:11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spans="2:1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spans="2:11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 spans="2:11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 spans="2:11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 spans="2:11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 spans="2:11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spans="2:11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spans="2:11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spans="2:11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 spans="2:11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2:11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spans="2:11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spans="2:11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 spans="2:11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 spans="2:11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 spans="2:11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 spans="2:11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 spans="2:11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 spans="2:11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 spans="2:11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Dos factores (1)</vt:lpstr>
      <vt:lpstr>Dos factores (2)</vt:lpstr>
      <vt:lpstr>Dos factores (3)</vt:lpstr>
      <vt:lpstr>Dos factores (4)</vt:lpstr>
      <vt:lpstr>Dos factores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2026-03-30T00:40:11Z</dcterms:created>
  <dcterms:modified xsi:type="dcterms:W3CDTF">2026-03-30T21:10:04Z</dcterms:modified>
</cp:coreProperties>
</file>